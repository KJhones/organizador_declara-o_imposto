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Resumo" sheetId="2" state="visible" r:id="rId4"/>
    <sheet name="Rendimentos" sheetId="3" state="visible" r:id="rId5"/>
    <sheet name="Despesas" sheetId="4" state="visible" r:id="rId6"/>
    <sheet name="Bens_Direitos" sheetId="5" state="visible" r:id="rId7"/>
    <sheet name="Dividas" sheetId="6" state="visible" r:id="rId8"/>
    <sheet name="Dependentes" sheetId="7" state="visible" r:id="rId9"/>
    <sheet name="Checklist" sheetId="8" state="visible" r:id="rId10"/>
    <sheet name="Config" sheetId="9" state="visible" r:id="rId11"/>
  </sheets>
  <definedNames>
    <definedName function="false" hidden="true" localSheetId="3" name="_xlnm._FilterDatabase" vbProcedure="false">Despesas!$A$4:$I$204</definedName>
    <definedName function="false" hidden="true" localSheetId="2" name="_xlnm._FilterDatabase" vbProcedure="false">Rendimentos!$A$4:$J$204</definedName>
    <definedName function="false" hidden="false" name="AnoBase" vbProcedure="false">Config!$B$3</definedName>
    <definedName function="false" hidden="false" name="DedDep" vbProcedure="false">Config!$B$5</definedName>
    <definedName function="false" hidden="false" name="LimEduc" vbProcedure="false">Config!$B$4</definedName>
    <definedName function="false" hidden="false" name="LimPGBL" vbProcedure="false">Config!$B$6</definedName>
    <definedName function="false" hidden="false" name="ListaCategorias" vbProcedure="false">Config!$D$10:$D$14</definedName>
    <definedName function="false" hidden="false" name="ListaParentesco" vbProcedure="false">Config!$F$10:$F$15</definedName>
    <definedName function="false" hidden="false" name="ListaStatus" vbProcedure="false">Config!$H$10:$H$12</definedName>
    <definedName function="false" hidden="false" name="ListaTipos" vbProcedure="false">Config!$A$10:$A$19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<sst xmlns="http://schemas.openxmlformats.org/spreadsheetml/2006/main" count="203" uniqueCount="165">
  <si>
    <t xml:space="preserve">Controle de Imposto de Renda</t>
  </si>
  <si>
    <t xml:space="preserve">NAVEGAÇÃO</t>
  </si>
  <si>
    <t xml:space="preserve">Totais, deduções e imposto estimado</t>
  </si>
  <si>
    <t xml:space="preserve">Salários, aluguéis, aplicações e isentos</t>
  </si>
  <si>
    <t xml:space="preserve">Saúde, educação, previdência, pensão</t>
  </si>
  <si>
    <t xml:space="preserve">Veículos, imóveis, investimentos</t>
  </si>
  <si>
    <t xml:space="preserve">Financiamentos e empréstimos</t>
  </si>
  <si>
    <t xml:space="preserve">Cadastro e dedução por dependente</t>
  </si>
  <si>
    <t xml:space="preserve">Documentos pendentes e concluídos</t>
  </si>
  <si>
    <t xml:space="preserve">Ano-base, limites, tabela e listas</t>
  </si>
  <si>
    <t xml:space="preserve">LINKS RÁPIDOS (Receita Federal e governo)</t>
  </si>
  <si>
    <t xml:space="preserve">Programa, regras e perguntas frequentes</t>
  </si>
  <si>
    <t xml:space="preserve">Declaração pré-preenchida, extratos e pendências</t>
  </si>
  <si>
    <t xml:space="preserve">Situação cadastral do CPF</t>
  </si>
  <si>
    <t xml:space="preserve">Informe de rendimentos de aposentadoria/pensão</t>
  </si>
  <si>
    <t xml:space="preserve">Site oficial</t>
  </si>
  <si>
    <t xml:space="preserve">COMO USAR</t>
  </si>
  <si>
    <t xml:space="preserve">1) Confira o ano-calendário e os limites na aba Config (células amarelas).</t>
  </si>
  <si>
    <t xml:space="preserve">2) Cadastre rendimentos, despesas, bens, dívidas e dependentes nas colunas azuis.</t>
  </si>
  <si>
    <t xml:space="preserve">3) Listas suspensas e validações bloqueiam datas, valores e documentos inválidos.</t>
  </si>
  <si>
    <t xml:space="preserve">4) Linhas em laranja indicam dados incompletos; acompanhe os alertas no Resumo.</t>
  </si>
  <si>
    <t xml:space="preserve">5) As linhas 5 das abas de cadastro são EXEMPLOS: apague-as antes de usar.</t>
  </si>
  <si>
    <t xml:space="preserve">Legenda: azul = entrada manual | preto = fórmula | cinza = coluna automática | amarelo = parâmetro-chave</t>
  </si>
  <si>
    <t xml:space="preserve">Resumo da declaração (estimativa)</t>
  </si>
  <si>
    <t xml:space="preserve">RENDIMENTOS</t>
  </si>
  <si>
    <t xml:space="preserve">Rendimentos tributáveis</t>
  </si>
  <si>
    <t xml:space="preserve">Rendimentos isentos</t>
  </si>
  <si>
    <t xml:space="preserve">Tributação exclusiva/definitiva</t>
  </si>
  <si>
    <t xml:space="preserve">Imposto retido na fonte (total)</t>
  </si>
  <si>
    <t xml:space="preserve">DEDUÇÕES</t>
  </si>
  <si>
    <t xml:space="preserve">Previdência oficial (INSS)</t>
  </si>
  <si>
    <t xml:space="preserve">PGBL (limitado a % da renda tributável)</t>
  </si>
  <si>
    <t xml:space="preserve">Pensão alimentícia</t>
  </si>
  <si>
    <t xml:space="preserve">Saúde (sem limite)</t>
  </si>
  <si>
    <t xml:space="preserve">Educação (limitada por pessoa)</t>
  </si>
  <si>
    <t xml:space="preserve">Limite aplicado ao titular + dependentes (simplificação)</t>
  </si>
  <si>
    <t xml:space="preserve">Dedução de dependentes</t>
  </si>
  <si>
    <t xml:space="preserve">Quantidade de dependentes</t>
  </si>
  <si>
    <t xml:space="preserve">Total de deduções</t>
  </si>
  <si>
    <t xml:space="preserve">CÁLCULO ESTIMADO</t>
  </si>
  <si>
    <t xml:space="preserve">Base de cálculo</t>
  </si>
  <si>
    <t xml:space="preserve">Imposto devido (tabela progressiva)</t>
  </si>
  <si>
    <t xml:space="preserve">Imposto retido na fonte</t>
  </si>
  <si>
    <t xml:space="preserve">Saldo: positivo = a pagar | negativo = a restituir</t>
  </si>
  <si>
    <t xml:space="preserve">PATRIMÔNIO</t>
  </si>
  <si>
    <t xml:space="preserve">Bens e direitos em 31/12 (ano anterior)</t>
  </si>
  <si>
    <t xml:space="preserve">Bens e direitos em 31/12 (ano-calendário)</t>
  </si>
  <si>
    <t xml:space="preserve">Dívidas em 31/12 (ano-calendário)</t>
  </si>
  <si>
    <t xml:space="preserve">Patrimônio líquido (ano-calendário)</t>
  </si>
  <si>
    <t xml:space="preserve">Evolução patrimonial (bens)</t>
  </si>
  <si>
    <t xml:space="preserve">CONTROLE</t>
  </si>
  <si>
    <t xml:space="preserve">Documentos concluídos (checklist)</t>
  </si>
  <si>
    <t xml:space="preserve">Alerta: rendimentos sem CPF/CNPJ ou tipo</t>
  </si>
  <si>
    <t xml:space="preserve">Alerta: despesas sem CPF/CNPJ ou categoria</t>
  </si>
  <si>
    <t xml:space="preserve">Estimativa para organização dos dados. Confira sempre os valores e regras no programa oficial da Receita Federal.</t>
  </si>
  <si>
    <t xml:space="preserve">Rendimentos recebidos no ano</t>
  </si>
  <si>
    <t xml:space="preserve">Preencha as colunas em azul. Colunas cinzas são automáticas. A linha 5 é um EXEMPLO: substitua ou apague.</t>
  </si>
  <si>
    <t xml:space="preserve">Data</t>
  </si>
  <si>
    <t xml:space="preserve">Fonte pagadora</t>
  </si>
  <si>
    <t xml:space="preserve">CPF/CNPJ (só números)</t>
  </si>
  <si>
    <t xml:space="preserve">Tipo de rendimento</t>
  </si>
  <si>
    <t xml:space="preserve">Valor bruto (R$)</t>
  </si>
  <si>
    <t xml:space="preserve">IR retido (R$)</t>
  </si>
  <si>
    <t xml:space="preserve">Classificação (auto)</t>
  </si>
  <si>
    <t xml:space="preserve">Mês (auto)</t>
  </si>
  <si>
    <t xml:space="preserve">Comprovante (link/arquivo)</t>
  </si>
  <si>
    <t xml:space="preserve">Observações</t>
  </si>
  <si>
    <t xml:space="preserve">Empresa Exemplo Ltda</t>
  </si>
  <si>
    <t xml:space="preserve">12345678000190</t>
  </si>
  <si>
    <t xml:space="preserve">Salário / trabalho assalariado</t>
  </si>
  <si>
    <t xml:space="preserve">EXEMPLO - apague esta linha</t>
  </si>
  <si>
    <t xml:space="preserve">Despesas dedutíveis</t>
  </si>
  <si>
    <t xml:space="preserve">Preencha as colunas em azul. Limites legais são aplicados na aba Resumo. A linha 5 é um EXEMPLO.</t>
  </si>
  <si>
    <t xml:space="preserve">Prestador / beneficiário</t>
  </si>
  <si>
    <t xml:space="preserve">Categoria</t>
  </si>
  <si>
    <t xml:space="preserve">Valor pago (R$)</t>
  </si>
  <si>
    <t xml:space="preserve">Reembolsado (R$)</t>
  </si>
  <si>
    <t xml:space="preserve">Valor dedutível (auto)</t>
  </si>
  <si>
    <t xml:space="preserve">Clínica Exemplo</t>
  </si>
  <si>
    <t xml:space="preserve">98765432000110</t>
  </si>
  <si>
    <t xml:space="preserve">Saúde</t>
  </si>
  <si>
    <t xml:space="preserve">Bens e direitos</t>
  </si>
  <si>
    <t xml:space="preserve">Valores em reais. A linha 5 é um EXEMPLO: substitua ou apague.</t>
  </si>
  <si>
    <t xml:space="preserve">Grupo / tipo do bem</t>
  </si>
  <si>
    <t xml:space="preserve">Discriminação</t>
  </si>
  <si>
    <t xml:space="preserve">Situação em 31/12 do ano anterior (R$)</t>
  </si>
  <si>
    <t xml:space="preserve">Situação em 31/12 do ano-calendário (R$)</t>
  </si>
  <si>
    <t xml:space="preserve">Variação (auto)</t>
  </si>
  <si>
    <t xml:space="preserve">Veículo automotor</t>
  </si>
  <si>
    <t xml:space="preserve">Carro de passeio (modelo/ano, placa)</t>
  </si>
  <si>
    <t xml:space="preserve">Dívidas e ônus reais</t>
  </si>
  <si>
    <t xml:space="preserve">Financiamentos, empréstimos etc. A linha 5 é um EXEMPLO.</t>
  </si>
  <si>
    <t xml:space="preserve">Credor</t>
  </si>
  <si>
    <t xml:space="preserve">Descrição da dívida</t>
  </si>
  <si>
    <t xml:space="preserve">Banco Exemplo</t>
  </si>
  <si>
    <t xml:space="preserve">Financiamento do veículo</t>
  </si>
  <si>
    <t xml:space="preserve">Dependentes</t>
  </si>
  <si>
    <t xml:space="preserve">Cada dependente gera dedução na aba Resumo. A linha 5 é um EXEMPLO: substitua ou apague.</t>
  </si>
  <si>
    <t xml:space="preserve">Nome</t>
  </si>
  <si>
    <t xml:space="preserve">CPF (só números)</t>
  </si>
  <si>
    <t xml:space="preserve">Parentesco</t>
  </si>
  <si>
    <t xml:space="preserve">Data de nascimento</t>
  </si>
  <si>
    <t xml:space="preserve">Idade em 31/12 (auto)</t>
  </si>
  <si>
    <t xml:space="preserve">Filho Exemplo</t>
  </si>
  <si>
    <t xml:space="preserve">11122233344</t>
  </si>
  <si>
    <t xml:space="preserve">Filho(a)</t>
  </si>
  <si>
    <t xml:space="preserve">Checklist de documentos</t>
  </si>
  <si>
    <t xml:space="preserve">Atualize o status; o percentual concluído aparece no Resumo.</t>
  </si>
  <si>
    <t xml:space="preserve">Documento</t>
  </si>
  <si>
    <t xml:space="preserve">Onde obter</t>
  </si>
  <si>
    <t xml:space="preserve">Status</t>
  </si>
  <si>
    <t xml:space="preserve">Link de acesso</t>
  </si>
  <si>
    <t xml:space="preserve">Informe de rendimentos (empresa / INSS)</t>
  </si>
  <si>
    <t xml:space="preserve">RH da empresa ou Meu INSS</t>
  </si>
  <si>
    <t xml:space="preserve">Pendente</t>
  </si>
  <si>
    <t xml:space="preserve">Informe de rendimentos dos bancos e corretoras</t>
  </si>
  <si>
    <t xml:space="preserve">Aplicativo ou internet banking do banco</t>
  </si>
  <si>
    <t xml:space="preserve">Recibos de despesas médicas</t>
  </si>
  <si>
    <t xml:space="preserve">Prestadores de saúde / plano de saúde</t>
  </si>
  <si>
    <t xml:space="preserve">Comprovantes de despesas com educação</t>
  </si>
  <si>
    <t xml:space="preserve">Escola / faculdade</t>
  </si>
  <si>
    <t xml:space="preserve">Informe de previdência privada (PGBL)</t>
  </si>
  <si>
    <t xml:space="preserve">Seguradora ou banco</t>
  </si>
  <si>
    <t xml:space="preserve">Extrato de bens e direitos (veículos, imóveis)</t>
  </si>
  <si>
    <t xml:space="preserve">Documentos do bem</t>
  </si>
  <si>
    <t xml:space="preserve">Saldo de dívidas e financiamentos em 31/12</t>
  </si>
  <si>
    <t xml:space="preserve">Banco / financeira</t>
  </si>
  <si>
    <t xml:space="preserve">Declaração anterior (recibo)</t>
  </si>
  <si>
    <t xml:space="preserve">Meu Imposto de Renda (e-CAC)</t>
  </si>
  <si>
    <t xml:space="preserve">Documentos dos dependentes (CPF, nascimento)</t>
  </si>
  <si>
    <t xml:space="preserve">Documentos pessoais</t>
  </si>
  <si>
    <t xml:space="preserve">Configurações e listas (base das validações)</t>
  </si>
  <si>
    <t xml:space="preserve">Ano-calendário</t>
  </si>
  <si>
    <t xml:space="preserve">Fonte: valores informados pelo autor do projeto com base na Receita Federal; CONFIRME os valores do ano em gov.br/receitafederal antes de declarar.</t>
  </si>
  <si>
    <t xml:space="preserve">Limite anual de educação (por pessoa)</t>
  </si>
  <si>
    <t xml:space="preserve">Dedução anual por dependente</t>
  </si>
  <si>
    <t xml:space="preserve">Limite PGBL (% da renda tributável)</t>
  </si>
  <si>
    <t xml:space="preserve">Classificação</t>
  </si>
  <si>
    <t xml:space="preserve">Categoria de despesa</t>
  </si>
  <si>
    <t xml:space="preserve">Tributável</t>
  </si>
  <si>
    <t xml:space="preserve">Cônjuge/companheiro(a)</t>
  </si>
  <si>
    <t xml:space="preserve">Aposentadoria / pensão</t>
  </si>
  <si>
    <t xml:space="preserve">Educação</t>
  </si>
  <si>
    <t xml:space="preserve">Em andamento</t>
  </si>
  <si>
    <t xml:space="preserve">Aluguel recebido de pessoa física</t>
  </si>
  <si>
    <t xml:space="preserve">Pai/mãe</t>
  </si>
  <si>
    <t xml:space="preserve">Concluído</t>
  </si>
  <si>
    <t xml:space="preserve">Trabalho autônomo</t>
  </si>
  <si>
    <t xml:space="preserve">PGBL</t>
  </si>
  <si>
    <t xml:space="preserve">Enteado(a)</t>
  </si>
  <si>
    <t xml:space="preserve">13º salário</t>
  </si>
  <si>
    <t xml:space="preserve">Exclusiva/definitiva</t>
  </si>
  <si>
    <t xml:space="preserve">Menor sob guarda</t>
  </si>
  <si>
    <t xml:space="preserve">PLR</t>
  </si>
  <si>
    <t xml:space="preserve">Outro</t>
  </si>
  <si>
    <t xml:space="preserve">Aplicações financeiras (CDB, renda fixa)</t>
  </si>
  <si>
    <t xml:space="preserve">Poupança / LCI / LCA</t>
  </si>
  <si>
    <t xml:space="preserve">Isento</t>
  </si>
  <si>
    <t xml:space="preserve">Lucros e dividendos</t>
  </si>
  <si>
    <t xml:space="preserve">FGTS / indenizações</t>
  </si>
  <si>
    <t xml:space="preserve">Tabela progressiva anual do IRPF (parâmetros editáveis - simplificada, 12 x tabela mensal)</t>
  </si>
  <si>
    <t xml:space="preserve">Limite inferior (R$/ano)</t>
  </si>
  <si>
    <t xml:space="preserve">Alíquota</t>
  </si>
  <si>
    <t xml:space="preserve">Parcela a deduzir (R$)</t>
  </si>
  <si>
    <t xml:space="preserve">As regras do IR mudam todo ano (inclusive a tabela e as isenções). Atualize as células em azul/amarelo antes de usar; a planilha é uma ESTIMATIVA e não substitui o programa da Receita.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</si>
</sst>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&quot;(R$ &quot;#,##0.00\);\-"/>
    <numFmt numFmtId="166" formatCode="0"/>
    <numFmt numFmtId="167" formatCode="0%"/>
    <numFmt numFmtId="168" formatCode="dd/mm/yyyy"/>
    <numFmt numFmtId="169" formatCode="@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9999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FCE4D6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tr">
        <f aca="false">"Ano-calendário "&amp;AnoBase&amp;"  |  organize seus dados em um só lugar"</f>
        <v>Ano-calendário 2025  |  organize seus dados em um só lugar</v>
      </c>
    </row>
    <row r="5" customFormat="false" ht="15" hidden="false" customHeight="false" outlineLevel="0" collapsed="false">
      <c r="B5" s="3" t="s">
        <v>1</v>
      </c>
      <c r="C5" s="4"/>
    </row>
    <row r="6" customFormat="false" ht="15" hidden="false" customHeight="false" outlineLevel="0" collapsed="false">
      <c r="B6" s="5" t="str">
        <f aca="false">HYPERLINK("#'Resumo'!A1","► Resumo")</f>
        <v>► Resumo</v>
      </c>
      <c r="C6" s="6" t="s">
        <v>2</v>
      </c>
    </row>
    <row r="7" customFormat="false" ht="15" hidden="false" customHeight="false" outlineLevel="0" collapsed="false">
      <c r="B7" s="5" t="str">
        <f aca="false">HYPERLINK("#'Rendimentos'!A1","► Rendimentos")</f>
        <v>► Rendimentos</v>
      </c>
      <c r="C7" s="6" t="s">
        <v>3</v>
      </c>
    </row>
    <row r="8" customFormat="false" ht="15" hidden="false" customHeight="false" outlineLevel="0" collapsed="false">
      <c r="B8" s="5" t="str">
        <f aca="false">HYPERLINK("#'Despesas'!A1","► Despesas")</f>
        <v>► Despesas</v>
      </c>
      <c r="C8" s="6" t="s">
        <v>4</v>
      </c>
    </row>
    <row r="9" customFormat="false" ht="15" hidden="false" customHeight="false" outlineLevel="0" collapsed="false">
      <c r="B9" s="5" t="str">
        <f aca="false">HYPERLINK("#'Bens_Direitos'!A1","► Bens e Direitos")</f>
        <v>► Bens e Direitos</v>
      </c>
      <c r="C9" s="6" t="s">
        <v>5</v>
      </c>
    </row>
    <row r="10" customFormat="false" ht="15" hidden="false" customHeight="false" outlineLevel="0" collapsed="false">
      <c r="B10" s="5" t="str">
        <f aca="false">HYPERLINK("#'Dividas'!A1","► Dívidas")</f>
        <v>► Dívidas</v>
      </c>
      <c r="C10" s="6" t="s">
        <v>6</v>
      </c>
    </row>
    <row r="11" customFormat="false" ht="15" hidden="false" customHeight="false" outlineLevel="0" collapsed="false">
      <c r="B11" s="5" t="str">
        <f aca="false">HYPERLINK("#'Dependentes'!A1","► Dependentes")</f>
        <v>► Dependentes</v>
      </c>
      <c r="C11" s="6" t="s">
        <v>7</v>
      </c>
    </row>
    <row r="12" customFormat="false" ht="15" hidden="false" customHeight="false" outlineLevel="0" collapsed="false">
      <c r="B12" s="5" t="str">
        <f aca="false">HYPERLINK("#'Checklist'!A1","► Checklist")</f>
        <v>► Checklist</v>
      </c>
      <c r="C12" s="6" t="s">
        <v>8</v>
      </c>
    </row>
    <row r="13" customFormat="false" ht="15" hidden="false" customHeight="false" outlineLevel="0" collapsed="false">
      <c r="B13" s="5" t="str">
        <f aca="false">HYPERLINK("#'Config'!A1","► Configurações")</f>
        <v>► Configurações</v>
      </c>
      <c r="C13" s="6" t="s">
        <v>9</v>
      </c>
    </row>
    <row r="15" customFormat="false" ht="15" hidden="false" customHeight="false" outlineLevel="0" collapsed="false">
      <c r="B15" s="3" t="s">
        <v>10</v>
      </c>
      <c r="C15" s="4"/>
    </row>
    <row r="16" customFormat="false" ht="15" hidden="false" customHeight="false" outlineLevel="0" collapsed="false">
      <c r="B16" s="5" t="str">
        <f aca="false">HYPERLINK("https://www.gov.br/receitafederal/pt-br/assuntos/meu-imposto-de-renda","↗ Meu Imposto de Renda")</f>
        <v>↗ Meu Imposto de Renda</v>
      </c>
      <c r="C16" s="6" t="s">
        <v>11</v>
      </c>
    </row>
    <row r="17" customFormat="false" ht="15" hidden="false" customHeight="false" outlineLevel="0" collapsed="false">
      <c r="B17" s="5" t="str">
        <f aca="false">HYPERLINK("https://cav.receita.fazenda.gov.br","↗ Portal e-CAC")</f>
        <v>↗ Portal e-CAC</v>
      </c>
      <c r="C17" s="6" t="s">
        <v>12</v>
      </c>
    </row>
    <row r="18" customFormat="false" ht="15" hidden="false" customHeight="false" outlineLevel="0" collapsed="false">
      <c r="B18" s="5" t="str">
        <f aca="false">HYPERLINK("https://servicos.receita.fazenda.gov.br/servicos/cpf/consultasituacao/consultapublica.asp","↗ Consulta de CPF")</f>
        <v>↗ Consulta de CPF</v>
      </c>
      <c r="C18" s="6" t="s">
        <v>13</v>
      </c>
    </row>
    <row r="19" customFormat="false" ht="15" hidden="false" customHeight="false" outlineLevel="0" collapsed="false">
      <c r="B19" s="5" t="str">
        <f aca="false">HYPERLINK("https://meu.inss.gov.br","↗ Meu INSS")</f>
        <v>↗ Meu INSS</v>
      </c>
      <c r="C19" s="6" t="s">
        <v>14</v>
      </c>
    </row>
    <row r="20" customFormat="false" ht="15" hidden="false" customHeight="false" outlineLevel="0" collapsed="false">
      <c r="B20" s="5" t="str">
        <f aca="false">HYPERLINK("https://www.gov.br/receitafederal/pt-br","↗ Receita Federal")</f>
        <v>↗ Receita Federal</v>
      </c>
      <c r="C20" s="6" t="s">
        <v>15</v>
      </c>
    </row>
    <row r="22" customFormat="false" ht="15" hidden="false" customHeight="false" outlineLevel="0" collapsed="false">
      <c r="B22" s="3" t="s">
        <v>16</v>
      </c>
      <c r="C22" s="4"/>
    </row>
    <row r="23" customFormat="false" ht="15" hidden="false" customHeight="false" outlineLevel="0" collapsed="false">
      <c r="B23" s="7" t="s">
        <v>17</v>
      </c>
    </row>
    <row r="24" customFormat="false" ht="15" hidden="false" customHeight="false" outlineLevel="0" collapsed="false">
      <c r="B24" s="7" t="s">
        <v>18</v>
      </c>
    </row>
    <row r="25" customFormat="false" ht="15" hidden="false" customHeight="false" outlineLevel="0" collapsed="false">
      <c r="B25" s="7" t="s">
        <v>19</v>
      </c>
    </row>
    <row r="26" customFormat="false" ht="15" hidden="false" customHeight="false" outlineLevel="0" collapsed="false">
      <c r="B26" s="7" t="s">
        <v>20</v>
      </c>
    </row>
    <row r="27" customFormat="false" ht="15" hidden="false" customHeight="false" outlineLevel="0" collapsed="false">
      <c r="B27" s="7" t="s">
        <v>21</v>
      </c>
    </row>
    <row r="29" customFormat="false" ht="15" hidden="false" customHeight="false" outlineLevel="0" collapsed="false">
      <c r="B29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9" t="str">
        <f aca="false">HYPERLINK("#'Menu'!A1","◄ Voltar ao Menu")</f>
        <v>◄ Voltar ao Menu</v>
      </c>
    </row>
    <row r="2" customFormat="false" ht="17.35" hidden="false" customHeight="false" outlineLevel="0" collapsed="false">
      <c r="A2" s="10" t="s">
        <v>23</v>
      </c>
    </row>
    <row r="3" customFormat="false" ht="15" hidden="false" customHeight="false" outlineLevel="0" collapsed="false">
      <c r="A3" s="11" t="str">
        <f aca="false">"Ano-calendário: "&amp;AnoBase</f>
        <v>Ano-calendário: 2025</v>
      </c>
    </row>
    <row r="5" customFormat="false" ht="15" hidden="false" customHeight="false" outlineLevel="0" collapsed="false">
      <c r="A5" s="3" t="s">
        <v>24</v>
      </c>
      <c r="B5" s="4"/>
    </row>
    <row r="6" customFormat="false" ht="15" hidden="false" customHeight="false" outlineLevel="0" collapsed="false">
      <c r="A6" s="6" t="s">
        <v>25</v>
      </c>
      <c r="B6" s="12" t="n">
        <f aca="false">SUMIFS(Rendimentos!$E$5:$E$204,Rendimentos!$G$5:$G$204,"Tributável")</f>
        <v>8500</v>
      </c>
    </row>
    <row r="7" customFormat="false" ht="15" hidden="false" customHeight="false" outlineLevel="0" collapsed="false">
      <c r="A7" s="6" t="s">
        <v>26</v>
      </c>
      <c r="B7" s="12" t="n">
        <f aca="false">SUMIFS(Rendimentos!$E$5:$E$204,Rendimentos!$G$5:$G$204,"Isento")</f>
        <v>0</v>
      </c>
    </row>
    <row r="8" customFormat="false" ht="15" hidden="false" customHeight="false" outlineLevel="0" collapsed="false">
      <c r="A8" s="6" t="s">
        <v>27</v>
      </c>
      <c r="B8" s="12" t="n">
        <f aca="false">SUMIFS(Rendimentos!$E$5:$E$204,Rendimentos!$G$5:$G$204,"Exclusiva/definitiva")</f>
        <v>0</v>
      </c>
    </row>
    <row r="9" customFormat="false" ht="15" hidden="false" customHeight="false" outlineLevel="0" collapsed="false">
      <c r="A9" s="6" t="s">
        <v>28</v>
      </c>
      <c r="B9" s="12" t="n">
        <f aca="false">SUM(Rendimentos!$F$5:$F$204)</f>
        <v>950.4</v>
      </c>
    </row>
    <row r="11" customFormat="false" ht="15" hidden="false" customHeight="false" outlineLevel="0" collapsed="false">
      <c r="A11" s="3" t="s">
        <v>29</v>
      </c>
      <c r="B11" s="4"/>
    </row>
    <row r="12" customFormat="false" ht="15" hidden="false" customHeight="false" outlineLevel="0" collapsed="false">
      <c r="A12" s="6" t="s">
        <v>30</v>
      </c>
      <c r="B12" s="12" t="n">
        <f aca="false">SUMIFS(Despesas!$G$5:$G$204,Despesas!$D$5:$D$204,"Previdência oficial (INSS)")</f>
        <v>0</v>
      </c>
    </row>
    <row r="13" customFormat="false" ht="15" hidden="false" customHeight="false" outlineLevel="0" collapsed="false">
      <c r="A13" s="6" t="s">
        <v>31</v>
      </c>
      <c r="B13" s="12" t="n">
        <f aca="false">MIN(SUMIFS(Despesas!$G$5:$G$204,Despesas!$D$5:$D$204,"PGBL"),LimPGBL*B6)</f>
        <v>0</v>
      </c>
    </row>
    <row r="14" customFormat="false" ht="15" hidden="false" customHeight="false" outlineLevel="0" collapsed="false">
      <c r="A14" s="6" t="s">
        <v>32</v>
      </c>
      <c r="B14" s="12" t="n">
        <f aca="false">SUMIFS(Despesas!$G$5:$G$204,Despesas!$D$5:$D$204,"Pensão alimentícia")</f>
        <v>0</v>
      </c>
    </row>
    <row r="15" customFormat="false" ht="15" hidden="false" customHeight="false" outlineLevel="0" collapsed="false">
      <c r="A15" s="6" t="s">
        <v>33</v>
      </c>
      <c r="B15" s="12" t="n">
        <f aca="false">SUMIFS(Despesas!$G$5:$G$204,Despesas!$D$5:$D$204,"Saúde")</f>
        <v>420</v>
      </c>
    </row>
    <row r="16" customFormat="false" ht="15" hidden="false" customHeight="false" outlineLevel="0" collapsed="false">
      <c r="A16" s="6" t="s">
        <v>34</v>
      </c>
      <c r="B16" s="12" t="n">
        <f aca="false">MIN(SUMIFS(Despesas!$G$5:$G$204,Despesas!$D$5:$D$204,"Educação"),LimEduc*(1+B18))</f>
        <v>0</v>
      </c>
      <c r="C16" s="8" t="s">
        <v>35</v>
      </c>
    </row>
    <row r="17" customFormat="false" ht="15" hidden="false" customHeight="false" outlineLevel="0" collapsed="false">
      <c r="A17" s="6" t="s">
        <v>36</v>
      </c>
      <c r="B17" s="12" t="n">
        <f aca="false">B18*DedDep</f>
        <v>2275.08</v>
      </c>
    </row>
    <row r="18" customFormat="false" ht="15" hidden="false" customHeight="false" outlineLevel="0" collapsed="false">
      <c r="A18" s="6" t="s">
        <v>37</v>
      </c>
      <c r="B18" s="13" t="n">
        <f aca="false">COUNTA(Dependentes!$A$5:$A$60)</f>
        <v>1</v>
      </c>
    </row>
    <row r="19" customFormat="false" ht="15" hidden="false" customHeight="false" outlineLevel="0" collapsed="false">
      <c r="A19" s="14" t="s">
        <v>38</v>
      </c>
      <c r="B19" s="15" t="n">
        <f aca="false">B12+B13+B14+B15+B16+B17</f>
        <v>2695.08</v>
      </c>
    </row>
    <row r="21" customFormat="false" ht="15" hidden="false" customHeight="false" outlineLevel="0" collapsed="false">
      <c r="A21" s="3" t="s">
        <v>39</v>
      </c>
      <c r="B21" s="4"/>
    </row>
    <row r="22" customFormat="false" ht="15" hidden="false" customHeight="false" outlineLevel="0" collapsed="false">
      <c r="A22" s="14" t="s">
        <v>40</v>
      </c>
      <c r="B22" s="15" t="n">
        <f aca="false">MAX(0,B6-B19)</f>
        <v>5804.92</v>
      </c>
    </row>
    <row r="23" customFormat="false" ht="15" hidden="false" customHeight="false" outlineLevel="0" collapsed="false">
      <c r="A23" s="6" t="s">
        <v>41</v>
      </c>
      <c r="B23" s="12" t="n">
        <f aca="false">MAX(0,B22*INDEX(Config!$B$24:$B$28,MATCH(B22,Config!$A$24:$A$28,1))-INDEX(Config!$C$24:$C$28,MATCH(B22,Config!$A$24:$A$28,1)))</f>
        <v>0</v>
      </c>
    </row>
    <row r="24" customFormat="false" ht="15" hidden="false" customHeight="false" outlineLevel="0" collapsed="false">
      <c r="A24" s="6" t="s">
        <v>42</v>
      </c>
      <c r="B24" s="12" t="n">
        <f aca="false">B9</f>
        <v>950.4</v>
      </c>
    </row>
    <row r="25" customFormat="false" ht="15" hidden="false" customHeight="false" outlineLevel="0" collapsed="false">
      <c r="A25" s="14" t="s">
        <v>43</v>
      </c>
      <c r="B25" s="16" t="n">
        <f aca="false">B23-B24</f>
        <v>-950.4</v>
      </c>
    </row>
    <row r="27" customFormat="false" ht="15" hidden="false" customHeight="false" outlineLevel="0" collapsed="false">
      <c r="A27" s="3" t="s">
        <v>44</v>
      </c>
      <c r="B27" s="4"/>
    </row>
    <row r="28" customFormat="false" ht="15" hidden="false" customHeight="false" outlineLevel="0" collapsed="false">
      <c r="A28" s="6" t="s">
        <v>45</v>
      </c>
      <c r="B28" s="12" t="n">
        <f aca="false">SUM(Bens_Direitos!$C$5:$C$204)</f>
        <v>42000</v>
      </c>
    </row>
    <row r="29" customFormat="false" ht="15" hidden="false" customHeight="false" outlineLevel="0" collapsed="false">
      <c r="A29" s="6" t="s">
        <v>46</v>
      </c>
      <c r="B29" s="12" t="n">
        <f aca="false">SUM(Bens_Direitos!$D$5:$D$204)</f>
        <v>40000</v>
      </c>
    </row>
    <row r="30" customFormat="false" ht="15" hidden="false" customHeight="false" outlineLevel="0" collapsed="false">
      <c r="A30" s="6" t="s">
        <v>47</v>
      </c>
      <c r="B30" s="12" t="n">
        <f aca="false">SUM(Dividas!$D$5:$D$204)</f>
        <v>9000</v>
      </c>
    </row>
    <row r="31" customFormat="false" ht="15" hidden="false" customHeight="false" outlineLevel="0" collapsed="false">
      <c r="A31" s="14" t="s">
        <v>48</v>
      </c>
      <c r="B31" s="15" t="n">
        <f aca="false">B29-B30</f>
        <v>31000</v>
      </c>
    </row>
    <row r="32" customFormat="false" ht="15" hidden="false" customHeight="false" outlineLevel="0" collapsed="false">
      <c r="A32" s="6" t="s">
        <v>49</v>
      </c>
      <c r="B32" s="12" t="n">
        <f aca="false">B29-B28</f>
        <v>-2000</v>
      </c>
    </row>
    <row r="34" customFormat="false" ht="15" hidden="false" customHeight="false" outlineLevel="0" collapsed="false">
      <c r="A34" s="3" t="s">
        <v>50</v>
      </c>
      <c r="B34" s="4"/>
    </row>
    <row r="35" customFormat="false" ht="15" hidden="false" customHeight="false" outlineLevel="0" collapsed="false">
      <c r="A35" s="6" t="s">
        <v>51</v>
      </c>
      <c r="B35" s="17" t="n">
        <f aca="false">IFERROR(COUNTIF(Checklist!$C$5:$C$23,"Concluído")/COUNTA(Checklist!$A$5:$A$23),0)</f>
        <v>0</v>
      </c>
    </row>
    <row r="36" customFormat="false" ht="15" hidden="false" customHeight="false" outlineLevel="0" collapsed="false">
      <c r="A36" s="6" t="s">
        <v>52</v>
      </c>
      <c r="B36" s="13" t="n">
        <f aca="false">SUMPRODUCT((Rendimentos!$E$5:$E$204&lt;&gt;"")*((Rendimentos!$C$5:$C$204="")+(Rendimentos!$D$5:$D$204="")&gt;0))</f>
        <v>0</v>
      </c>
    </row>
    <row r="37" customFormat="false" ht="15" hidden="false" customHeight="false" outlineLevel="0" collapsed="false">
      <c r="A37" s="6" t="s">
        <v>53</v>
      </c>
      <c r="B37" s="13" t="n">
        <f aca="false">SUMPRODUCT((Despesas!$E$5:$E$204&lt;&gt;"")*((Despesas!$C$5:$C$204="")+(Despesas!$D$5:$D$204="")&gt;0))</f>
        <v>0</v>
      </c>
    </row>
    <row r="39" customFormat="false" ht="15" hidden="false" customHeight="false" outlineLevel="0" collapsed="false">
      <c r="A39" s="8" t="s">
        <v>54</v>
      </c>
    </row>
  </sheetData>
  <conditionalFormatting sqref="B36:B37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10" min="9" style="0" width="30"/>
  </cols>
  <sheetData>
    <row r="1" customFormat="false" ht="15" hidden="false" customHeight="false" outlineLevel="0" collapsed="false">
      <c r="A1" s="9" t="str">
        <f aca="false">HYPERLINK("#'Menu'!A1","◄ Voltar ao Menu")</f>
        <v>◄ Voltar ao Menu</v>
      </c>
    </row>
    <row r="2" customFormat="false" ht="17.35" hidden="false" customHeight="false" outlineLevel="0" collapsed="false">
      <c r="A2" s="10" t="s">
        <v>55</v>
      </c>
    </row>
    <row r="3" customFormat="false" ht="15" hidden="false" customHeight="false" outlineLevel="0" collapsed="false">
      <c r="A3" s="8" t="s">
        <v>56</v>
      </c>
    </row>
    <row r="4" customFormat="false" ht="31.5" hidden="false" customHeight="true" outlineLevel="0" collapsed="false">
      <c r="A4" s="18" t="s">
        <v>57</v>
      </c>
      <c r="B4" s="18" t="s">
        <v>58</v>
      </c>
      <c r="C4" s="18" t="s">
        <v>59</v>
      </c>
      <c r="D4" s="18" t="s">
        <v>60</v>
      </c>
      <c r="E4" s="18" t="s">
        <v>61</v>
      </c>
      <c r="F4" s="18" t="s">
        <v>62</v>
      </c>
      <c r="G4" s="18" t="s">
        <v>63</v>
      </c>
      <c r="H4" s="18" t="s">
        <v>64</v>
      </c>
      <c r="I4" s="18" t="s">
        <v>65</v>
      </c>
      <c r="J4" s="18" t="s">
        <v>66</v>
      </c>
    </row>
    <row r="5" customFormat="false" ht="15" hidden="false" customHeight="false" outlineLevel="0" collapsed="false">
      <c r="A5" s="19" t="n">
        <v>45721</v>
      </c>
      <c r="B5" s="20" t="s">
        <v>67</v>
      </c>
      <c r="C5" s="21" t="s">
        <v>68</v>
      </c>
      <c r="D5" s="20" t="s">
        <v>69</v>
      </c>
      <c r="E5" s="22" t="n">
        <v>8500</v>
      </c>
      <c r="F5" s="22" t="n">
        <v>950.4</v>
      </c>
      <c r="G5" s="23" t="str">
        <f aca="false">IF(D5="","",IFERROR(INDEX(Config!$B$10:$B$19,MATCH(D5,Config!$A$10:$A$19,0)),""))</f>
        <v>Tributável</v>
      </c>
      <c r="H5" s="24" t="n">
        <f aca="false">IF(A5="","",MONTH(A5))</f>
        <v>3</v>
      </c>
      <c r="I5" s="20"/>
      <c r="J5" s="20" t="s">
        <v>70</v>
      </c>
    </row>
    <row r="6" customFormat="false" ht="15" hidden="false" customHeight="false" outlineLevel="0" collapsed="false">
      <c r="A6" s="19"/>
      <c r="B6" s="20"/>
      <c r="C6" s="21"/>
      <c r="D6" s="20"/>
      <c r="E6" s="22"/>
      <c r="F6" s="22"/>
      <c r="G6" s="23" t="str">
        <f aca="false">IF(D6="","",IFERROR(INDEX(Config!$B$10:$B$19,MATCH(D6,Config!$A$10:$A$19,0)),""))</f>
        <v/>
      </c>
      <c r="H6" s="24" t="str">
        <f aca="false">IF(A6="","",MONTH(A6))</f>
        <v/>
      </c>
      <c r="I6" s="20"/>
      <c r="J6" s="20"/>
    </row>
    <row r="7" customFormat="false" ht="15" hidden="false" customHeight="false" outlineLevel="0" collapsed="false">
      <c r="A7" s="19"/>
      <c r="B7" s="20"/>
      <c r="C7" s="21"/>
      <c r="D7" s="20"/>
      <c r="E7" s="22"/>
      <c r="F7" s="22"/>
      <c r="G7" s="23" t="str">
        <f aca="false">IF(D7="","",IFERROR(INDEX(Config!$B$10:$B$19,MATCH(D7,Config!$A$10:$A$19,0)),""))</f>
        <v/>
      </c>
      <c r="H7" s="24" t="str">
        <f aca="false">IF(A7="","",MONTH(A7))</f>
        <v/>
      </c>
      <c r="I7" s="20"/>
      <c r="J7" s="20"/>
    </row>
    <row r="8" customFormat="false" ht="15" hidden="false" customHeight="false" outlineLevel="0" collapsed="false">
      <c r="A8" s="19"/>
      <c r="B8" s="20"/>
      <c r="C8" s="21"/>
      <c r="D8" s="20"/>
      <c r="E8" s="22"/>
      <c r="F8" s="22"/>
      <c r="G8" s="23" t="str">
        <f aca="false">IF(D8="","",IFERROR(INDEX(Config!$B$10:$B$19,MATCH(D8,Config!$A$10:$A$19,0)),""))</f>
        <v/>
      </c>
      <c r="H8" s="24" t="str">
        <f aca="false">IF(A8="","",MONTH(A8))</f>
        <v/>
      </c>
      <c r="I8" s="20"/>
      <c r="J8" s="20"/>
    </row>
    <row r="9" customFormat="false" ht="15" hidden="false" customHeight="false" outlineLevel="0" collapsed="false">
      <c r="A9" s="19"/>
      <c r="B9" s="20"/>
      <c r="C9" s="21"/>
      <c r="D9" s="20"/>
      <c r="E9" s="22"/>
      <c r="F9" s="22"/>
      <c r="G9" s="23" t="str">
        <f aca="false">IF(D9="","",IFERROR(INDEX(Config!$B$10:$B$19,MATCH(D9,Config!$A$10:$A$19,0)),""))</f>
        <v/>
      </c>
      <c r="H9" s="24" t="str">
        <f aca="false">IF(A9="","",MONTH(A9))</f>
        <v/>
      </c>
      <c r="I9" s="20"/>
      <c r="J9" s="20"/>
    </row>
    <row r="10" customFormat="false" ht="15" hidden="false" customHeight="false" outlineLevel="0" collapsed="false">
      <c r="A10" s="19"/>
      <c r="B10" s="20"/>
      <c r="C10" s="21"/>
      <c r="D10" s="20"/>
      <c r="E10" s="22"/>
      <c r="F10" s="22"/>
      <c r="G10" s="23" t="str">
        <f aca="false">IF(D10="","",IFERROR(INDEX(Config!$B$10:$B$19,MATCH(D10,Config!$A$10:$A$19,0)),""))</f>
        <v/>
      </c>
      <c r="H10" s="24" t="str">
        <f aca="false">IF(A10="","",MONTH(A10))</f>
        <v/>
      </c>
      <c r="I10" s="20"/>
      <c r="J10" s="20"/>
    </row>
    <row r="11" customFormat="false" ht="15" hidden="false" customHeight="false" outlineLevel="0" collapsed="false">
      <c r="A11" s="19"/>
      <c r="B11" s="20"/>
      <c r="C11" s="21"/>
      <c r="D11" s="20"/>
      <c r="E11" s="22"/>
      <c r="F11" s="22"/>
      <c r="G11" s="23" t="str">
        <f aca="false">IF(D11="","",IFERROR(INDEX(Config!$B$10:$B$19,MATCH(D11,Config!$A$10:$A$19,0)),""))</f>
        <v/>
      </c>
      <c r="H11" s="24" t="str">
        <f aca="false">IF(A11="","",MONTH(A11))</f>
        <v/>
      </c>
      <c r="I11" s="20"/>
      <c r="J11" s="20"/>
    </row>
    <row r="12" customFormat="false" ht="15" hidden="false" customHeight="false" outlineLevel="0" collapsed="false">
      <c r="A12" s="19"/>
      <c r="B12" s="20"/>
      <c r="C12" s="21"/>
      <c r="D12" s="20"/>
      <c r="E12" s="22"/>
      <c r="F12" s="22"/>
      <c r="G12" s="23" t="str">
        <f aca="false">IF(D12="","",IFERROR(INDEX(Config!$B$10:$B$19,MATCH(D12,Config!$A$10:$A$19,0)),""))</f>
        <v/>
      </c>
      <c r="H12" s="24" t="str">
        <f aca="false">IF(A12="","",MONTH(A12))</f>
        <v/>
      </c>
      <c r="I12" s="20"/>
      <c r="J12" s="20"/>
    </row>
    <row r="13" customFormat="false" ht="15" hidden="false" customHeight="false" outlineLevel="0" collapsed="false">
      <c r="A13" s="19"/>
      <c r="B13" s="20"/>
      <c r="C13" s="21"/>
      <c r="D13" s="20"/>
      <c r="E13" s="22"/>
      <c r="F13" s="22"/>
      <c r="G13" s="23" t="str">
        <f aca="false">IF(D13="","",IFERROR(INDEX(Config!$B$10:$B$19,MATCH(D13,Config!$A$10:$A$19,0)),""))</f>
        <v/>
      </c>
      <c r="H13" s="24" t="str">
        <f aca="false">IF(A13="","",MONTH(A13))</f>
        <v/>
      </c>
      <c r="I13" s="20"/>
      <c r="J13" s="20"/>
    </row>
    <row r="14" customFormat="false" ht="15" hidden="false" customHeight="false" outlineLevel="0" collapsed="false">
      <c r="A14" s="19"/>
      <c r="B14" s="20"/>
      <c r="C14" s="21"/>
      <c r="D14" s="20"/>
      <c r="E14" s="22"/>
      <c r="F14" s="22"/>
      <c r="G14" s="23" t="str">
        <f aca="false">IF(D14="","",IFERROR(INDEX(Config!$B$10:$B$19,MATCH(D14,Config!$A$10:$A$19,0)),""))</f>
        <v/>
      </c>
      <c r="H14" s="24" t="str">
        <f aca="false">IF(A14="","",MONTH(A14))</f>
        <v/>
      </c>
      <c r="I14" s="20"/>
      <c r="J14" s="20"/>
    </row>
    <row r="15" customFormat="false" ht="15" hidden="false" customHeight="false" outlineLevel="0" collapsed="false">
      <c r="A15" s="19"/>
      <c r="B15" s="20"/>
      <c r="C15" s="21"/>
      <c r="D15" s="20"/>
      <c r="E15" s="22"/>
      <c r="F15" s="22"/>
      <c r="G15" s="23" t="str">
        <f aca="false">IF(D15="","",IFERROR(INDEX(Config!$B$10:$B$19,MATCH(D15,Config!$A$10:$A$19,0)),""))</f>
        <v/>
      </c>
      <c r="H15" s="24" t="str">
        <f aca="false">IF(A15="","",MONTH(A15))</f>
        <v/>
      </c>
      <c r="I15" s="20"/>
      <c r="J15" s="20"/>
    </row>
    <row r="16" customFormat="false" ht="15" hidden="false" customHeight="false" outlineLevel="0" collapsed="false">
      <c r="A16" s="19"/>
      <c r="B16" s="20"/>
      <c r="C16" s="21"/>
      <c r="D16" s="20"/>
      <c r="E16" s="22"/>
      <c r="F16" s="22"/>
      <c r="G16" s="23" t="str">
        <f aca="false">IF(D16="","",IFERROR(INDEX(Config!$B$10:$B$19,MATCH(D16,Config!$A$10:$A$19,0)),""))</f>
        <v/>
      </c>
      <c r="H16" s="24" t="str">
        <f aca="false">IF(A16="","",MONTH(A16))</f>
        <v/>
      </c>
      <c r="I16" s="20"/>
      <c r="J16" s="20"/>
    </row>
    <row r="17" customFormat="false" ht="15" hidden="false" customHeight="false" outlineLevel="0" collapsed="false">
      <c r="A17" s="19"/>
      <c r="B17" s="20"/>
      <c r="C17" s="21"/>
      <c r="D17" s="20"/>
      <c r="E17" s="22"/>
      <c r="F17" s="22"/>
      <c r="G17" s="23" t="str">
        <f aca="false">IF(D17="","",IFERROR(INDEX(Config!$B$10:$B$19,MATCH(D17,Config!$A$10:$A$19,0)),""))</f>
        <v/>
      </c>
      <c r="H17" s="24" t="str">
        <f aca="false">IF(A17="","",MONTH(A17))</f>
        <v/>
      </c>
      <c r="I17" s="20"/>
      <c r="J17" s="20"/>
    </row>
    <row r="18" customFormat="false" ht="15" hidden="false" customHeight="false" outlineLevel="0" collapsed="false">
      <c r="A18" s="19"/>
      <c r="B18" s="20"/>
      <c r="C18" s="21"/>
      <c r="D18" s="20"/>
      <c r="E18" s="22"/>
      <c r="F18" s="22"/>
      <c r="G18" s="23" t="str">
        <f aca="false">IF(D18="","",IFERROR(INDEX(Config!$B$10:$B$19,MATCH(D18,Config!$A$10:$A$19,0)),""))</f>
        <v/>
      </c>
      <c r="H18" s="24" t="str">
        <f aca="false">IF(A18="","",MONTH(A18))</f>
        <v/>
      </c>
      <c r="I18" s="20"/>
      <c r="J18" s="20"/>
    </row>
    <row r="19" customFormat="false" ht="15" hidden="false" customHeight="false" outlineLevel="0" collapsed="false">
      <c r="A19" s="19"/>
      <c r="B19" s="20"/>
      <c r="C19" s="21"/>
      <c r="D19" s="20"/>
      <c r="E19" s="22"/>
      <c r="F19" s="22"/>
      <c r="G19" s="23" t="str">
        <f aca="false">IF(D19="","",IFERROR(INDEX(Config!$B$10:$B$19,MATCH(D19,Config!$A$10:$A$19,0)),""))</f>
        <v/>
      </c>
      <c r="H19" s="24" t="str">
        <f aca="false">IF(A19="","",MONTH(A19))</f>
        <v/>
      </c>
      <c r="I19" s="20"/>
      <c r="J19" s="20"/>
    </row>
    <row r="20" customFormat="false" ht="15" hidden="false" customHeight="false" outlineLevel="0" collapsed="false">
      <c r="A20" s="19"/>
      <c r="B20" s="20"/>
      <c r="C20" s="21"/>
      <c r="D20" s="20"/>
      <c r="E20" s="22"/>
      <c r="F20" s="22"/>
      <c r="G20" s="23" t="str">
        <f aca="false">IF(D20="","",IFERROR(INDEX(Config!$B$10:$B$19,MATCH(D20,Config!$A$10:$A$19,0)),""))</f>
        <v/>
      </c>
      <c r="H20" s="24" t="str">
        <f aca="false">IF(A20="","",MONTH(A20))</f>
        <v/>
      </c>
      <c r="I20" s="20"/>
      <c r="J20" s="20"/>
    </row>
    <row r="21" customFormat="false" ht="15" hidden="false" customHeight="false" outlineLevel="0" collapsed="false">
      <c r="A21" s="19"/>
      <c r="B21" s="20"/>
      <c r="C21" s="21"/>
      <c r="D21" s="20"/>
      <c r="E21" s="22"/>
      <c r="F21" s="22"/>
      <c r="G21" s="23" t="str">
        <f aca="false">IF(D21="","",IFERROR(INDEX(Config!$B$10:$B$19,MATCH(D21,Config!$A$10:$A$19,0)),""))</f>
        <v/>
      </c>
      <c r="H21" s="24" t="str">
        <f aca="false">IF(A21="","",MONTH(A21))</f>
        <v/>
      </c>
      <c r="I21" s="20"/>
      <c r="J21" s="20"/>
    </row>
    <row r="22" customFormat="false" ht="15" hidden="false" customHeight="false" outlineLevel="0" collapsed="false">
      <c r="A22" s="19"/>
      <c r="B22" s="20"/>
      <c r="C22" s="21"/>
      <c r="D22" s="20"/>
      <c r="E22" s="22"/>
      <c r="F22" s="22"/>
      <c r="G22" s="23" t="str">
        <f aca="false">IF(D22="","",IFERROR(INDEX(Config!$B$10:$B$19,MATCH(D22,Config!$A$10:$A$19,0)),""))</f>
        <v/>
      </c>
      <c r="H22" s="24" t="str">
        <f aca="false">IF(A22="","",MONTH(A22))</f>
        <v/>
      </c>
      <c r="I22" s="20"/>
      <c r="J22" s="20"/>
    </row>
    <row r="23" customFormat="false" ht="15" hidden="false" customHeight="false" outlineLevel="0" collapsed="false">
      <c r="A23" s="19"/>
      <c r="B23" s="20"/>
      <c r="C23" s="21"/>
      <c r="D23" s="20"/>
      <c r="E23" s="22"/>
      <c r="F23" s="22"/>
      <c r="G23" s="23" t="str">
        <f aca="false">IF(D23="","",IFERROR(INDEX(Config!$B$10:$B$19,MATCH(D23,Config!$A$10:$A$19,0)),""))</f>
        <v/>
      </c>
      <c r="H23" s="24" t="str">
        <f aca="false">IF(A23="","",MONTH(A23))</f>
        <v/>
      </c>
      <c r="I23" s="20"/>
      <c r="J23" s="20"/>
    </row>
    <row r="24" customFormat="false" ht="15" hidden="false" customHeight="false" outlineLevel="0" collapsed="false">
      <c r="A24" s="19"/>
      <c r="B24" s="20"/>
      <c r="C24" s="21"/>
      <c r="D24" s="20"/>
      <c r="E24" s="22"/>
      <c r="F24" s="22"/>
      <c r="G24" s="23" t="str">
        <f aca="false">IF(D24="","",IFERROR(INDEX(Config!$B$10:$B$19,MATCH(D24,Config!$A$10:$A$19,0)),""))</f>
        <v/>
      </c>
      <c r="H24" s="24" t="str">
        <f aca="false">IF(A24="","",MONTH(A24))</f>
        <v/>
      </c>
      <c r="I24" s="20"/>
      <c r="J24" s="20"/>
    </row>
    <row r="25" customFormat="false" ht="15" hidden="false" customHeight="false" outlineLevel="0" collapsed="false">
      <c r="A25" s="19"/>
      <c r="B25" s="20"/>
      <c r="C25" s="21"/>
      <c r="D25" s="20"/>
      <c r="E25" s="22"/>
      <c r="F25" s="22"/>
      <c r="G25" s="23" t="str">
        <f aca="false">IF(D25="","",IFERROR(INDEX(Config!$B$10:$B$19,MATCH(D25,Config!$A$10:$A$19,0)),""))</f>
        <v/>
      </c>
      <c r="H25" s="24" t="str">
        <f aca="false">IF(A25="","",MONTH(A25))</f>
        <v/>
      </c>
      <c r="I25" s="20"/>
      <c r="J25" s="20"/>
    </row>
    <row r="26" customFormat="false" ht="15" hidden="false" customHeight="false" outlineLevel="0" collapsed="false">
      <c r="A26" s="19"/>
      <c r="B26" s="20"/>
      <c r="C26" s="21"/>
      <c r="D26" s="20"/>
      <c r="E26" s="22"/>
      <c r="F26" s="22"/>
      <c r="G26" s="23" t="str">
        <f aca="false">IF(D26="","",IFERROR(INDEX(Config!$B$10:$B$19,MATCH(D26,Config!$A$10:$A$19,0)),""))</f>
        <v/>
      </c>
      <c r="H26" s="24" t="str">
        <f aca="false">IF(A26="","",MONTH(A26))</f>
        <v/>
      </c>
      <c r="I26" s="20"/>
      <c r="J26" s="20"/>
    </row>
    <row r="27" customFormat="false" ht="15" hidden="false" customHeight="false" outlineLevel="0" collapsed="false">
      <c r="A27" s="19"/>
      <c r="B27" s="20"/>
      <c r="C27" s="21"/>
      <c r="D27" s="20"/>
      <c r="E27" s="22"/>
      <c r="F27" s="22"/>
      <c r="G27" s="23" t="str">
        <f aca="false">IF(D27="","",IFERROR(INDEX(Config!$B$10:$B$19,MATCH(D27,Config!$A$10:$A$19,0)),""))</f>
        <v/>
      </c>
      <c r="H27" s="24" t="str">
        <f aca="false">IF(A27="","",MONTH(A27))</f>
        <v/>
      </c>
      <c r="I27" s="20"/>
      <c r="J27" s="20"/>
    </row>
    <row r="28" customFormat="false" ht="15" hidden="false" customHeight="false" outlineLevel="0" collapsed="false">
      <c r="A28" s="19"/>
      <c r="B28" s="20"/>
      <c r="C28" s="21"/>
      <c r="D28" s="20"/>
      <c r="E28" s="22"/>
      <c r="F28" s="22"/>
      <c r="G28" s="23" t="str">
        <f aca="false">IF(D28="","",IFERROR(INDEX(Config!$B$10:$B$19,MATCH(D28,Config!$A$10:$A$19,0)),""))</f>
        <v/>
      </c>
      <c r="H28" s="24" t="str">
        <f aca="false">IF(A28="","",MONTH(A28))</f>
        <v/>
      </c>
      <c r="I28" s="20"/>
      <c r="J28" s="20"/>
    </row>
    <row r="29" customFormat="false" ht="15" hidden="false" customHeight="false" outlineLevel="0" collapsed="false">
      <c r="A29" s="19"/>
      <c r="B29" s="20"/>
      <c r="C29" s="21"/>
      <c r="D29" s="20"/>
      <c r="E29" s="22"/>
      <c r="F29" s="22"/>
      <c r="G29" s="23" t="str">
        <f aca="false">IF(D29="","",IFERROR(INDEX(Config!$B$10:$B$19,MATCH(D29,Config!$A$10:$A$19,0)),""))</f>
        <v/>
      </c>
      <c r="H29" s="24" t="str">
        <f aca="false">IF(A29="","",MONTH(A29))</f>
        <v/>
      </c>
      <c r="I29" s="20"/>
      <c r="J29" s="20"/>
    </row>
    <row r="30" customFormat="false" ht="15" hidden="false" customHeight="false" outlineLevel="0" collapsed="false">
      <c r="A30" s="19"/>
      <c r="B30" s="20"/>
      <c r="C30" s="21"/>
      <c r="D30" s="20"/>
      <c r="E30" s="22"/>
      <c r="F30" s="22"/>
      <c r="G30" s="23" t="str">
        <f aca="false">IF(D30="","",IFERROR(INDEX(Config!$B$10:$B$19,MATCH(D30,Config!$A$10:$A$19,0)),""))</f>
        <v/>
      </c>
      <c r="H30" s="24" t="str">
        <f aca="false">IF(A30="","",MONTH(A30))</f>
        <v/>
      </c>
      <c r="I30" s="20"/>
      <c r="J30" s="20"/>
    </row>
    <row r="31" customFormat="false" ht="15" hidden="false" customHeight="false" outlineLevel="0" collapsed="false">
      <c r="A31" s="19"/>
      <c r="B31" s="20"/>
      <c r="C31" s="21"/>
      <c r="D31" s="20"/>
      <c r="E31" s="22"/>
      <c r="F31" s="22"/>
      <c r="G31" s="23" t="str">
        <f aca="false">IF(D31="","",IFERROR(INDEX(Config!$B$10:$B$19,MATCH(D31,Config!$A$10:$A$19,0)),""))</f>
        <v/>
      </c>
      <c r="H31" s="24" t="str">
        <f aca="false">IF(A31="","",MONTH(A31))</f>
        <v/>
      </c>
      <c r="I31" s="20"/>
      <c r="J31" s="20"/>
    </row>
    <row r="32" customFormat="false" ht="15" hidden="false" customHeight="false" outlineLevel="0" collapsed="false">
      <c r="A32" s="19"/>
      <c r="B32" s="20"/>
      <c r="C32" s="21"/>
      <c r="D32" s="20"/>
      <c r="E32" s="22"/>
      <c r="F32" s="22"/>
      <c r="G32" s="23" t="str">
        <f aca="false">IF(D32="","",IFERROR(INDEX(Config!$B$10:$B$19,MATCH(D32,Config!$A$10:$A$19,0)),""))</f>
        <v/>
      </c>
      <c r="H32" s="24" t="str">
        <f aca="false">IF(A32="","",MONTH(A32))</f>
        <v/>
      </c>
      <c r="I32" s="20"/>
      <c r="J32" s="20"/>
    </row>
    <row r="33" customFormat="false" ht="15" hidden="false" customHeight="false" outlineLevel="0" collapsed="false">
      <c r="A33" s="19"/>
      <c r="B33" s="20"/>
      <c r="C33" s="21"/>
      <c r="D33" s="20"/>
      <c r="E33" s="22"/>
      <c r="F33" s="22"/>
      <c r="G33" s="23" t="str">
        <f aca="false">IF(D33="","",IFERROR(INDEX(Config!$B$10:$B$19,MATCH(D33,Config!$A$10:$A$19,0)),""))</f>
        <v/>
      </c>
      <c r="H33" s="24" t="str">
        <f aca="false">IF(A33="","",MONTH(A33))</f>
        <v/>
      </c>
      <c r="I33" s="20"/>
      <c r="J33" s="20"/>
    </row>
    <row r="34" customFormat="false" ht="15" hidden="false" customHeight="false" outlineLevel="0" collapsed="false">
      <c r="A34" s="19"/>
      <c r="B34" s="20"/>
      <c r="C34" s="21"/>
      <c r="D34" s="20"/>
      <c r="E34" s="22"/>
      <c r="F34" s="22"/>
      <c r="G34" s="23" t="str">
        <f aca="false">IF(D34="","",IFERROR(INDEX(Config!$B$10:$B$19,MATCH(D34,Config!$A$10:$A$19,0)),""))</f>
        <v/>
      </c>
      <c r="H34" s="24" t="str">
        <f aca="false">IF(A34="","",MONTH(A34))</f>
        <v/>
      </c>
      <c r="I34" s="20"/>
      <c r="J34" s="20"/>
    </row>
    <row r="35" customFormat="false" ht="15" hidden="false" customHeight="false" outlineLevel="0" collapsed="false">
      <c r="A35" s="19"/>
      <c r="B35" s="20"/>
      <c r="C35" s="21"/>
      <c r="D35" s="20"/>
      <c r="E35" s="22"/>
      <c r="F35" s="22"/>
      <c r="G35" s="23" t="str">
        <f aca="false">IF(D35="","",IFERROR(INDEX(Config!$B$10:$B$19,MATCH(D35,Config!$A$10:$A$19,0)),""))</f>
        <v/>
      </c>
      <c r="H35" s="24" t="str">
        <f aca="false">IF(A35="","",MONTH(A35))</f>
        <v/>
      </c>
      <c r="I35" s="20"/>
      <c r="J35" s="20"/>
    </row>
    <row r="36" customFormat="false" ht="15" hidden="false" customHeight="false" outlineLevel="0" collapsed="false">
      <c r="A36" s="19"/>
      <c r="B36" s="20"/>
      <c r="C36" s="21"/>
      <c r="D36" s="20"/>
      <c r="E36" s="22"/>
      <c r="F36" s="22"/>
      <c r="G36" s="23" t="str">
        <f aca="false">IF(D36="","",IFERROR(INDEX(Config!$B$10:$B$19,MATCH(D36,Config!$A$10:$A$19,0)),""))</f>
        <v/>
      </c>
      <c r="H36" s="24" t="str">
        <f aca="false">IF(A36="","",MONTH(A36))</f>
        <v/>
      </c>
      <c r="I36" s="20"/>
      <c r="J36" s="20"/>
    </row>
    <row r="37" customFormat="false" ht="15" hidden="false" customHeight="false" outlineLevel="0" collapsed="false">
      <c r="A37" s="19"/>
      <c r="B37" s="20"/>
      <c r="C37" s="21"/>
      <c r="D37" s="20"/>
      <c r="E37" s="22"/>
      <c r="F37" s="22"/>
      <c r="G37" s="23" t="str">
        <f aca="false">IF(D37="","",IFERROR(INDEX(Config!$B$10:$B$19,MATCH(D37,Config!$A$10:$A$19,0)),""))</f>
        <v/>
      </c>
      <c r="H37" s="24" t="str">
        <f aca="false">IF(A37="","",MONTH(A37))</f>
        <v/>
      </c>
      <c r="I37" s="20"/>
      <c r="J37" s="20"/>
    </row>
    <row r="38" customFormat="false" ht="15" hidden="false" customHeight="false" outlineLevel="0" collapsed="false">
      <c r="A38" s="19"/>
      <c r="B38" s="20"/>
      <c r="C38" s="21"/>
      <c r="D38" s="20"/>
      <c r="E38" s="22"/>
      <c r="F38" s="22"/>
      <c r="G38" s="23" t="str">
        <f aca="false">IF(D38="","",IFERROR(INDEX(Config!$B$10:$B$19,MATCH(D38,Config!$A$10:$A$19,0)),""))</f>
        <v/>
      </c>
      <c r="H38" s="24" t="str">
        <f aca="false">IF(A38="","",MONTH(A38))</f>
        <v/>
      </c>
      <c r="I38" s="20"/>
      <c r="J38" s="20"/>
    </row>
    <row r="39" customFormat="false" ht="15" hidden="false" customHeight="false" outlineLevel="0" collapsed="false">
      <c r="A39" s="19"/>
      <c r="B39" s="20"/>
      <c r="C39" s="21"/>
      <c r="D39" s="20"/>
      <c r="E39" s="22"/>
      <c r="F39" s="22"/>
      <c r="G39" s="23" t="str">
        <f aca="false">IF(D39="","",IFERROR(INDEX(Config!$B$10:$B$19,MATCH(D39,Config!$A$10:$A$19,0)),""))</f>
        <v/>
      </c>
      <c r="H39" s="24" t="str">
        <f aca="false">IF(A39="","",MONTH(A39))</f>
        <v/>
      </c>
      <c r="I39" s="20"/>
      <c r="J39" s="20"/>
    </row>
    <row r="40" customFormat="false" ht="15" hidden="false" customHeight="false" outlineLevel="0" collapsed="false">
      <c r="A40" s="19"/>
      <c r="B40" s="20"/>
      <c r="C40" s="21"/>
      <c r="D40" s="20"/>
      <c r="E40" s="22"/>
      <c r="F40" s="22"/>
      <c r="G40" s="23" t="str">
        <f aca="false">IF(D40="","",IFERROR(INDEX(Config!$B$10:$B$19,MATCH(D40,Config!$A$10:$A$19,0)),""))</f>
        <v/>
      </c>
      <c r="H40" s="24" t="str">
        <f aca="false">IF(A40="","",MONTH(A40))</f>
        <v/>
      </c>
      <c r="I40" s="20"/>
      <c r="J40" s="20"/>
    </row>
    <row r="41" customFormat="false" ht="15" hidden="false" customHeight="false" outlineLevel="0" collapsed="false">
      <c r="A41" s="19"/>
      <c r="B41" s="20"/>
      <c r="C41" s="21"/>
      <c r="D41" s="20"/>
      <c r="E41" s="22"/>
      <c r="F41" s="22"/>
      <c r="G41" s="23" t="str">
        <f aca="false">IF(D41="","",IFERROR(INDEX(Config!$B$10:$B$19,MATCH(D41,Config!$A$10:$A$19,0)),""))</f>
        <v/>
      </c>
      <c r="H41" s="24" t="str">
        <f aca="false">IF(A41="","",MONTH(A41))</f>
        <v/>
      </c>
      <c r="I41" s="20"/>
      <c r="J41" s="20"/>
    </row>
    <row r="42" customFormat="false" ht="15" hidden="false" customHeight="false" outlineLevel="0" collapsed="false">
      <c r="A42" s="19"/>
      <c r="B42" s="20"/>
      <c r="C42" s="21"/>
      <c r="D42" s="20"/>
      <c r="E42" s="22"/>
      <c r="F42" s="22"/>
      <c r="G42" s="23" t="str">
        <f aca="false">IF(D42="","",IFERROR(INDEX(Config!$B$10:$B$19,MATCH(D42,Config!$A$10:$A$19,0)),""))</f>
        <v/>
      </c>
      <c r="H42" s="24" t="str">
        <f aca="false">IF(A42="","",MONTH(A42))</f>
        <v/>
      </c>
      <c r="I42" s="20"/>
      <c r="J42" s="20"/>
    </row>
    <row r="43" customFormat="false" ht="15" hidden="false" customHeight="false" outlineLevel="0" collapsed="false">
      <c r="A43" s="19"/>
      <c r="B43" s="20"/>
      <c r="C43" s="21"/>
      <c r="D43" s="20"/>
      <c r="E43" s="22"/>
      <c r="F43" s="22"/>
      <c r="G43" s="23" t="str">
        <f aca="false">IF(D43="","",IFERROR(INDEX(Config!$B$10:$B$19,MATCH(D43,Config!$A$10:$A$19,0)),""))</f>
        <v/>
      </c>
      <c r="H43" s="24" t="str">
        <f aca="false">IF(A43="","",MONTH(A43))</f>
        <v/>
      </c>
      <c r="I43" s="20"/>
      <c r="J43" s="20"/>
    </row>
    <row r="44" customFormat="false" ht="15" hidden="false" customHeight="false" outlineLevel="0" collapsed="false">
      <c r="A44" s="19"/>
      <c r="B44" s="20"/>
      <c r="C44" s="21"/>
      <c r="D44" s="20"/>
      <c r="E44" s="22"/>
      <c r="F44" s="22"/>
      <c r="G44" s="23" t="str">
        <f aca="false">IF(D44="","",IFERROR(INDEX(Config!$B$10:$B$19,MATCH(D44,Config!$A$10:$A$19,0)),""))</f>
        <v/>
      </c>
      <c r="H44" s="24" t="str">
        <f aca="false">IF(A44="","",MONTH(A44))</f>
        <v/>
      </c>
      <c r="I44" s="20"/>
      <c r="J44" s="20"/>
    </row>
    <row r="45" customFormat="false" ht="15" hidden="false" customHeight="false" outlineLevel="0" collapsed="false">
      <c r="A45" s="19"/>
      <c r="B45" s="20"/>
      <c r="C45" s="21"/>
      <c r="D45" s="20"/>
      <c r="E45" s="22"/>
      <c r="F45" s="22"/>
      <c r="G45" s="23" t="str">
        <f aca="false">IF(D45="","",IFERROR(INDEX(Config!$B$10:$B$19,MATCH(D45,Config!$A$10:$A$19,0)),""))</f>
        <v/>
      </c>
      <c r="H45" s="24" t="str">
        <f aca="false">IF(A45="","",MONTH(A45))</f>
        <v/>
      </c>
      <c r="I45" s="20"/>
      <c r="J45" s="20"/>
    </row>
    <row r="46" customFormat="false" ht="15" hidden="false" customHeight="false" outlineLevel="0" collapsed="false">
      <c r="A46" s="19"/>
      <c r="B46" s="20"/>
      <c r="C46" s="21"/>
      <c r="D46" s="20"/>
      <c r="E46" s="22"/>
      <c r="F46" s="22"/>
      <c r="G46" s="23" t="str">
        <f aca="false">IF(D46="","",IFERROR(INDEX(Config!$B$10:$B$19,MATCH(D46,Config!$A$10:$A$19,0)),""))</f>
        <v/>
      </c>
      <c r="H46" s="24" t="str">
        <f aca="false">IF(A46="","",MONTH(A46))</f>
        <v/>
      </c>
      <c r="I46" s="20"/>
      <c r="J46" s="20"/>
    </row>
    <row r="47" customFormat="false" ht="15" hidden="false" customHeight="false" outlineLevel="0" collapsed="false">
      <c r="A47" s="19"/>
      <c r="B47" s="20"/>
      <c r="C47" s="21"/>
      <c r="D47" s="20"/>
      <c r="E47" s="22"/>
      <c r="F47" s="22"/>
      <c r="G47" s="23" t="str">
        <f aca="false">IF(D47="","",IFERROR(INDEX(Config!$B$10:$B$19,MATCH(D47,Config!$A$10:$A$19,0)),""))</f>
        <v/>
      </c>
      <c r="H47" s="24" t="str">
        <f aca="false">IF(A47="","",MONTH(A47))</f>
        <v/>
      </c>
      <c r="I47" s="20"/>
      <c r="J47" s="20"/>
    </row>
    <row r="48" customFormat="false" ht="15" hidden="false" customHeight="false" outlineLevel="0" collapsed="false">
      <c r="A48" s="19"/>
      <c r="B48" s="20"/>
      <c r="C48" s="21"/>
      <c r="D48" s="20"/>
      <c r="E48" s="22"/>
      <c r="F48" s="22"/>
      <c r="G48" s="23" t="str">
        <f aca="false">IF(D48="","",IFERROR(INDEX(Config!$B$10:$B$19,MATCH(D48,Config!$A$10:$A$19,0)),""))</f>
        <v/>
      </c>
      <c r="H48" s="24" t="str">
        <f aca="false">IF(A48="","",MONTH(A48))</f>
        <v/>
      </c>
      <c r="I48" s="20"/>
      <c r="J48" s="20"/>
    </row>
    <row r="49" customFormat="false" ht="15" hidden="false" customHeight="false" outlineLevel="0" collapsed="false">
      <c r="A49" s="19"/>
      <c r="B49" s="20"/>
      <c r="C49" s="21"/>
      <c r="D49" s="20"/>
      <c r="E49" s="22"/>
      <c r="F49" s="22"/>
      <c r="G49" s="23" t="str">
        <f aca="false">IF(D49="","",IFERROR(INDEX(Config!$B$10:$B$19,MATCH(D49,Config!$A$10:$A$19,0)),""))</f>
        <v/>
      </c>
      <c r="H49" s="24" t="str">
        <f aca="false">IF(A49="","",MONTH(A49))</f>
        <v/>
      </c>
      <c r="I49" s="20"/>
      <c r="J49" s="20"/>
    </row>
    <row r="50" customFormat="false" ht="15" hidden="false" customHeight="false" outlineLevel="0" collapsed="false">
      <c r="A50" s="19"/>
      <c r="B50" s="20"/>
      <c r="C50" s="21"/>
      <c r="D50" s="20"/>
      <c r="E50" s="22"/>
      <c r="F50" s="22"/>
      <c r="G50" s="23" t="str">
        <f aca="false">IF(D50="","",IFERROR(INDEX(Config!$B$10:$B$19,MATCH(D50,Config!$A$10:$A$19,0)),""))</f>
        <v/>
      </c>
      <c r="H50" s="24" t="str">
        <f aca="false">IF(A50="","",MONTH(A50))</f>
        <v/>
      </c>
      <c r="I50" s="20"/>
      <c r="J50" s="20"/>
    </row>
    <row r="51" customFormat="false" ht="15" hidden="false" customHeight="false" outlineLevel="0" collapsed="false">
      <c r="A51" s="19"/>
      <c r="B51" s="20"/>
      <c r="C51" s="21"/>
      <c r="D51" s="20"/>
      <c r="E51" s="22"/>
      <c r="F51" s="22"/>
      <c r="G51" s="23" t="str">
        <f aca="false">IF(D51="","",IFERROR(INDEX(Config!$B$10:$B$19,MATCH(D51,Config!$A$10:$A$19,0)),""))</f>
        <v/>
      </c>
      <c r="H51" s="24" t="str">
        <f aca="false">IF(A51="","",MONTH(A51))</f>
        <v/>
      </c>
      <c r="I51" s="20"/>
      <c r="J51" s="20"/>
    </row>
    <row r="52" customFormat="false" ht="15" hidden="false" customHeight="false" outlineLevel="0" collapsed="false">
      <c r="A52" s="19"/>
      <c r="B52" s="20"/>
      <c r="C52" s="21"/>
      <c r="D52" s="20"/>
      <c r="E52" s="22"/>
      <c r="F52" s="22"/>
      <c r="G52" s="23" t="str">
        <f aca="false">IF(D52="","",IFERROR(INDEX(Config!$B$10:$B$19,MATCH(D52,Config!$A$10:$A$19,0)),""))</f>
        <v/>
      </c>
      <c r="H52" s="24" t="str">
        <f aca="false">IF(A52="","",MONTH(A52))</f>
        <v/>
      </c>
      <c r="I52" s="20"/>
      <c r="J52" s="20"/>
    </row>
    <row r="53" customFormat="false" ht="15" hidden="false" customHeight="false" outlineLevel="0" collapsed="false">
      <c r="A53" s="19"/>
      <c r="B53" s="20"/>
      <c r="C53" s="21"/>
      <c r="D53" s="20"/>
      <c r="E53" s="22"/>
      <c r="F53" s="22"/>
      <c r="G53" s="23" t="str">
        <f aca="false">IF(D53="","",IFERROR(INDEX(Config!$B$10:$B$19,MATCH(D53,Config!$A$10:$A$19,0)),""))</f>
        <v/>
      </c>
      <c r="H53" s="24" t="str">
        <f aca="false">IF(A53="","",MONTH(A53))</f>
        <v/>
      </c>
      <c r="I53" s="20"/>
      <c r="J53" s="20"/>
    </row>
    <row r="54" customFormat="false" ht="15" hidden="false" customHeight="false" outlineLevel="0" collapsed="false">
      <c r="A54" s="19"/>
      <c r="B54" s="20"/>
      <c r="C54" s="21"/>
      <c r="D54" s="20"/>
      <c r="E54" s="22"/>
      <c r="F54" s="22"/>
      <c r="G54" s="23" t="str">
        <f aca="false">IF(D54="","",IFERROR(INDEX(Config!$B$10:$B$19,MATCH(D54,Config!$A$10:$A$19,0)),""))</f>
        <v/>
      </c>
      <c r="H54" s="24" t="str">
        <f aca="false">IF(A54="","",MONTH(A54))</f>
        <v/>
      </c>
      <c r="I54" s="20"/>
      <c r="J54" s="20"/>
    </row>
    <row r="55" customFormat="false" ht="15" hidden="false" customHeight="false" outlineLevel="0" collapsed="false">
      <c r="A55" s="19"/>
      <c r="B55" s="20"/>
      <c r="C55" s="21"/>
      <c r="D55" s="20"/>
      <c r="E55" s="22"/>
      <c r="F55" s="22"/>
      <c r="G55" s="23" t="str">
        <f aca="false">IF(D55="","",IFERROR(INDEX(Config!$B$10:$B$19,MATCH(D55,Config!$A$10:$A$19,0)),""))</f>
        <v/>
      </c>
      <c r="H55" s="24" t="str">
        <f aca="false">IF(A55="","",MONTH(A55))</f>
        <v/>
      </c>
      <c r="I55" s="20"/>
      <c r="J55" s="20"/>
    </row>
    <row r="56" customFormat="false" ht="15" hidden="false" customHeight="false" outlineLevel="0" collapsed="false">
      <c r="A56" s="19"/>
      <c r="B56" s="20"/>
      <c r="C56" s="21"/>
      <c r="D56" s="20"/>
      <c r="E56" s="22"/>
      <c r="F56" s="22"/>
      <c r="G56" s="23" t="str">
        <f aca="false">IF(D56="","",IFERROR(INDEX(Config!$B$10:$B$19,MATCH(D56,Config!$A$10:$A$19,0)),""))</f>
        <v/>
      </c>
      <c r="H56" s="24" t="str">
        <f aca="false">IF(A56="","",MONTH(A56))</f>
        <v/>
      </c>
      <c r="I56" s="20"/>
      <c r="J56" s="20"/>
    </row>
    <row r="57" customFormat="false" ht="15" hidden="false" customHeight="false" outlineLevel="0" collapsed="false">
      <c r="A57" s="19"/>
      <c r="B57" s="20"/>
      <c r="C57" s="21"/>
      <c r="D57" s="20"/>
      <c r="E57" s="22"/>
      <c r="F57" s="22"/>
      <c r="G57" s="23" t="str">
        <f aca="false">IF(D57="","",IFERROR(INDEX(Config!$B$10:$B$19,MATCH(D57,Config!$A$10:$A$19,0)),""))</f>
        <v/>
      </c>
      <c r="H57" s="24" t="str">
        <f aca="false">IF(A57="","",MONTH(A57))</f>
        <v/>
      </c>
      <c r="I57" s="20"/>
      <c r="J57" s="20"/>
    </row>
    <row r="58" customFormat="false" ht="15" hidden="false" customHeight="false" outlineLevel="0" collapsed="false">
      <c r="A58" s="19"/>
      <c r="B58" s="20"/>
      <c r="C58" s="21"/>
      <c r="D58" s="20"/>
      <c r="E58" s="22"/>
      <c r="F58" s="22"/>
      <c r="G58" s="23" t="str">
        <f aca="false">IF(D58="","",IFERROR(INDEX(Config!$B$10:$B$19,MATCH(D58,Config!$A$10:$A$19,0)),""))</f>
        <v/>
      </c>
      <c r="H58" s="24" t="str">
        <f aca="false">IF(A58="","",MONTH(A58))</f>
        <v/>
      </c>
      <c r="I58" s="20"/>
      <c r="J58" s="20"/>
    </row>
    <row r="59" customFormat="false" ht="15" hidden="false" customHeight="false" outlineLevel="0" collapsed="false">
      <c r="A59" s="19"/>
      <c r="B59" s="20"/>
      <c r="C59" s="21"/>
      <c r="D59" s="20"/>
      <c r="E59" s="22"/>
      <c r="F59" s="22"/>
      <c r="G59" s="23" t="str">
        <f aca="false">IF(D59="","",IFERROR(INDEX(Config!$B$10:$B$19,MATCH(D59,Config!$A$10:$A$19,0)),""))</f>
        <v/>
      </c>
      <c r="H59" s="24" t="str">
        <f aca="false">IF(A59="","",MONTH(A59))</f>
        <v/>
      </c>
      <c r="I59" s="20"/>
      <c r="J59" s="20"/>
    </row>
    <row r="60" customFormat="false" ht="15" hidden="false" customHeight="false" outlineLevel="0" collapsed="false">
      <c r="A60" s="19"/>
      <c r="B60" s="20"/>
      <c r="C60" s="21"/>
      <c r="D60" s="20"/>
      <c r="E60" s="22"/>
      <c r="F60" s="22"/>
      <c r="G60" s="23" t="str">
        <f aca="false">IF(D60="","",IFERROR(INDEX(Config!$B$10:$B$19,MATCH(D60,Config!$A$10:$A$19,0)),""))</f>
        <v/>
      </c>
      <c r="H60" s="24" t="str">
        <f aca="false">IF(A60="","",MONTH(A60))</f>
        <v/>
      </c>
      <c r="I60" s="20"/>
      <c r="J60" s="20"/>
    </row>
    <row r="61" customFormat="false" ht="15" hidden="false" customHeight="false" outlineLevel="0" collapsed="false">
      <c r="A61" s="19"/>
      <c r="B61" s="20"/>
      <c r="C61" s="21"/>
      <c r="D61" s="20"/>
      <c r="E61" s="22"/>
      <c r="F61" s="22"/>
      <c r="G61" s="23" t="str">
        <f aca="false">IF(D61="","",IFERROR(INDEX(Config!$B$10:$B$19,MATCH(D61,Config!$A$10:$A$19,0)),""))</f>
        <v/>
      </c>
      <c r="H61" s="24" t="str">
        <f aca="false">IF(A61="","",MONTH(A61))</f>
        <v/>
      </c>
      <c r="I61" s="20"/>
      <c r="J61" s="20"/>
    </row>
    <row r="62" customFormat="false" ht="15" hidden="false" customHeight="false" outlineLevel="0" collapsed="false">
      <c r="A62" s="19"/>
      <c r="B62" s="20"/>
      <c r="C62" s="21"/>
      <c r="D62" s="20"/>
      <c r="E62" s="22"/>
      <c r="F62" s="22"/>
      <c r="G62" s="23" t="str">
        <f aca="false">IF(D62="","",IFERROR(INDEX(Config!$B$10:$B$19,MATCH(D62,Config!$A$10:$A$19,0)),""))</f>
        <v/>
      </c>
      <c r="H62" s="24" t="str">
        <f aca="false">IF(A62="","",MONTH(A62))</f>
        <v/>
      </c>
      <c r="I62" s="20"/>
      <c r="J62" s="20"/>
    </row>
    <row r="63" customFormat="false" ht="15" hidden="false" customHeight="false" outlineLevel="0" collapsed="false">
      <c r="A63" s="19"/>
      <c r="B63" s="20"/>
      <c r="C63" s="21"/>
      <c r="D63" s="20"/>
      <c r="E63" s="22"/>
      <c r="F63" s="22"/>
      <c r="G63" s="23" t="str">
        <f aca="false">IF(D63="","",IFERROR(INDEX(Config!$B$10:$B$19,MATCH(D63,Config!$A$10:$A$19,0)),""))</f>
        <v/>
      </c>
      <c r="H63" s="24" t="str">
        <f aca="false">IF(A63="","",MONTH(A63))</f>
        <v/>
      </c>
      <c r="I63" s="20"/>
      <c r="J63" s="20"/>
    </row>
    <row r="64" customFormat="false" ht="15" hidden="false" customHeight="false" outlineLevel="0" collapsed="false">
      <c r="A64" s="19"/>
      <c r="B64" s="20"/>
      <c r="C64" s="21"/>
      <c r="D64" s="20"/>
      <c r="E64" s="22"/>
      <c r="F64" s="22"/>
      <c r="G64" s="23" t="str">
        <f aca="false">IF(D64="","",IFERROR(INDEX(Config!$B$10:$B$19,MATCH(D64,Config!$A$10:$A$19,0)),""))</f>
        <v/>
      </c>
      <c r="H64" s="24" t="str">
        <f aca="false">IF(A64="","",MONTH(A64))</f>
        <v/>
      </c>
      <c r="I64" s="20"/>
      <c r="J64" s="20"/>
    </row>
    <row r="65" customFormat="false" ht="15" hidden="false" customHeight="false" outlineLevel="0" collapsed="false">
      <c r="A65" s="19"/>
      <c r="B65" s="20"/>
      <c r="C65" s="21"/>
      <c r="D65" s="20"/>
      <c r="E65" s="22"/>
      <c r="F65" s="22"/>
      <c r="G65" s="23" t="str">
        <f aca="false">IF(D65="","",IFERROR(INDEX(Config!$B$10:$B$19,MATCH(D65,Config!$A$10:$A$19,0)),""))</f>
        <v/>
      </c>
      <c r="H65" s="24" t="str">
        <f aca="false">IF(A65="","",MONTH(A65))</f>
        <v/>
      </c>
      <c r="I65" s="20"/>
      <c r="J65" s="20"/>
    </row>
    <row r="66" customFormat="false" ht="15" hidden="false" customHeight="false" outlineLevel="0" collapsed="false">
      <c r="A66" s="19"/>
      <c r="B66" s="20"/>
      <c r="C66" s="21"/>
      <c r="D66" s="20"/>
      <c r="E66" s="22"/>
      <c r="F66" s="22"/>
      <c r="G66" s="23" t="str">
        <f aca="false">IF(D66="","",IFERROR(INDEX(Config!$B$10:$B$19,MATCH(D66,Config!$A$10:$A$19,0)),""))</f>
        <v/>
      </c>
      <c r="H66" s="24" t="str">
        <f aca="false">IF(A66="","",MONTH(A66))</f>
        <v/>
      </c>
      <c r="I66" s="20"/>
      <c r="J66" s="20"/>
    </row>
    <row r="67" customFormat="false" ht="15" hidden="false" customHeight="false" outlineLevel="0" collapsed="false">
      <c r="A67" s="19"/>
      <c r="B67" s="20"/>
      <c r="C67" s="21"/>
      <c r="D67" s="20"/>
      <c r="E67" s="22"/>
      <c r="F67" s="22"/>
      <c r="G67" s="23" t="str">
        <f aca="false">IF(D67="","",IFERROR(INDEX(Config!$B$10:$B$19,MATCH(D67,Config!$A$10:$A$19,0)),""))</f>
        <v/>
      </c>
      <c r="H67" s="24" t="str">
        <f aca="false">IF(A67="","",MONTH(A67))</f>
        <v/>
      </c>
      <c r="I67" s="20"/>
      <c r="J67" s="20"/>
    </row>
    <row r="68" customFormat="false" ht="15" hidden="false" customHeight="false" outlineLevel="0" collapsed="false">
      <c r="A68" s="19"/>
      <c r="B68" s="20"/>
      <c r="C68" s="21"/>
      <c r="D68" s="20"/>
      <c r="E68" s="22"/>
      <c r="F68" s="22"/>
      <c r="G68" s="23" t="str">
        <f aca="false">IF(D68="","",IFERROR(INDEX(Config!$B$10:$B$19,MATCH(D68,Config!$A$10:$A$19,0)),""))</f>
        <v/>
      </c>
      <c r="H68" s="24" t="str">
        <f aca="false">IF(A68="","",MONTH(A68))</f>
        <v/>
      </c>
      <c r="I68" s="20"/>
      <c r="J68" s="20"/>
    </row>
    <row r="69" customFormat="false" ht="15" hidden="false" customHeight="false" outlineLevel="0" collapsed="false">
      <c r="A69" s="19"/>
      <c r="B69" s="20"/>
      <c r="C69" s="21"/>
      <c r="D69" s="20"/>
      <c r="E69" s="22"/>
      <c r="F69" s="22"/>
      <c r="G69" s="23" t="str">
        <f aca="false">IF(D69="","",IFERROR(INDEX(Config!$B$10:$B$19,MATCH(D69,Config!$A$10:$A$19,0)),""))</f>
        <v/>
      </c>
      <c r="H69" s="24" t="str">
        <f aca="false">IF(A69="","",MONTH(A69))</f>
        <v/>
      </c>
      <c r="I69" s="20"/>
      <c r="J69" s="20"/>
    </row>
    <row r="70" customFormat="false" ht="15" hidden="false" customHeight="false" outlineLevel="0" collapsed="false">
      <c r="A70" s="19"/>
      <c r="B70" s="20"/>
      <c r="C70" s="21"/>
      <c r="D70" s="20"/>
      <c r="E70" s="22"/>
      <c r="F70" s="22"/>
      <c r="G70" s="23" t="str">
        <f aca="false">IF(D70="","",IFERROR(INDEX(Config!$B$10:$B$19,MATCH(D70,Config!$A$10:$A$19,0)),""))</f>
        <v/>
      </c>
      <c r="H70" s="24" t="str">
        <f aca="false">IF(A70="","",MONTH(A70))</f>
        <v/>
      </c>
      <c r="I70" s="20"/>
      <c r="J70" s="20"/>
    </row>
    <row r="71" customFormat="false" ht="15" hidden="false" customHeight="false" outlineLevel="0" collapsed="false">
      <c r="A71" s="19"/>
      <c r="B71" s="20"/>
      <c r="C71" s="21"/>
      <c r="D71" s="20"/>
      <c r="E71" s="22"/>
      <c r="F71" s="22"/>
      <c r="G71" s="23" t="str">
        <f aca="false">IF(D71="","",IFERROR(INDEX(Config!$B$10:$B$19,MATCH(D71,Config!$A$10:$A$19,0)),""))</f>
        <v/>
      </c>
      <c r="H71" s="24" t="str">
        <f aca="false">IF(A71="","",MONTH(A71))</f>
        <v/>
      </c>
      <c r="I71" s="20"/>
      <c r="J71" s="20"/>
    </row>
    <row r="72" customFormat="false" ht="15" hidden="false" customHeight="false" outlineLevel="0" collapsed="false">
      <c r="A72" s="19"/>
      <c r="B72" s="20"/>
      <c r="C72" s="21"/>
      <c r="D72" s="20"/>
      <c r="E72" s="22"/>
      <c r="F72" s="22"/>
      <c r="G72" s="23" t="str">
        <f aca="false">IF(D72="","",IFERROR(INDEX(Config!$B$10:$B$19,MATCH(D72,Config!$A$10:$A$19,0)),""))</f>
        <v/>
      </c>
      <c r="H72" s="24" t="str">
        <f aca="false">IF(A72="","",MONTH(A72))</f>
        <v/>
      </c>
      <c r="I72" s="20"/>
      <c r="J72" s="20"/>
    </row>
    <row r="73" customFormat="false" ht="15" hidden="false" customHeight="false" outlineLevel="0" collapsed="false">
      <c r="A73" s="19"/>
      <c r="B73" s="20"/>
      <c r="C73" s="21"/>
      <c r="D73" s="20"/>
      <c r="E73" s="22"/>
      <c r="F73" s="22"/>
      <c r="G73" s="23" t="str">
        <f aca="false">IF(D73="","",IFERROR(INDEX(Config!$B$10:$B$19,MATCH(D73,Config!$A$10:$A$19,0)),""))</f>
        <v/>
      </c>
      <c r="H73" s="24" t="str">
        <f aca="false">IF(A73="","",MONTH(A73))</f>
        <v/>
      </c>
      <c r="I73" s="20"/>
      <c r="J73" s="20"/>
    </row>
    <row r="74" customFormat="false" ht="15" hidden="false" customHeight="false" outlineLevel="0" collapsed="false">
      <c r="A74" s="19"/>
      <c r="B74" s="20"/>
      <c r="C74" s="21"/>
      <c r="D74" s="20"/>
      <c r="E74" s="22"/>
      <c r="F74" s="22"/>
      <c r="G74" s="23" t="str">
        <f aca="false">IF(D74="","",IFERROR(INDEX(Config!$B$10:$B$19,MATCH(D74,Config!$A$10:$A$19,0)),""))</f>
        <v/>
      </c>
      <c r="H74" s="24" t="str">
        <f aca="false">IF(A74="","",MONTH(A74))</f>
        <v/>
      </c>
      <c r="I74" s="20"/>
      <c r="J74" s="20"/>
    </row>
    <row r="75" customFormat="false" ht="15" hidden="false" customHeight="false" outlineLevel="0" collapsed="false">
      <c r="A75" s="19"/>
      <c r="B75" s="20"/>
      <c r="C75" s="21"/>
      <c r="D75" s="20"/>
      <c r="E75" s="22"/>
      <c r="F75" s="22"/>
      <c r="G75" s="23" t="str">
        <f aca="false">IF(D75="","",IFERROR(INDEX(Config!$B$10:$B$19,MATCH(D75,Config!$A$10:$A$19,0)),""))</f>
        <v/>
      </c>
      <c r="H75" s="24" t="str">
        <f aca="false">IF(A75="","",MONTH(A75))</f>
        <v/>
      </c>
      <c r="I75" s="20"/>
      <c r="J75" s="20"/>
    </row>
    <row r="76" customFormat="false" ht="15" hidden="false" customHeight="false" outlineLevel="0" collapsed="false">
      <c r="A76" s="19"/>
      <c r="B76" s="20"/>
      <c r="C76" s="21"/>
      <c r="D76" s="20"/>
      <c r="E76" s="22"/>
      <c r="F76" s="22"/>
      <c r="G76" s="23" t="str">
        <f aca="false">IF(D76="","",IFERROR(INDEX(Config!$B$10:$B$19,MATCH(D76,Config!$A$10:$A$19,0)),""))</f>
        <v/>
      </c>
      <c r="H76" s="24" t="str">
        <f aca="false">IF(A76="","",MONTH(A76))</f>
        <v/>
      </c>
      <c r="I76" s="20"/>
      <c r="J76" s="20"/>
    </row>
    <row r="77" customFormat="false" ht="15" hidden="false" customHeight="false" outlineLevel="0" collapsed="false">
      <c r="A77" s="19"/>
      <c r="B77" s="20"/>
      <c r="C77" s="21"/>
      <c r="D77" s="20"/>
      <c r="E77" s="22"/>
      <c r="F77" s="22"/>
      <c r="G77" s="23" t="str">
        <f aca="false">IF(D77="","",IFERROR(INDEX(Config!$B$10:$B$19,MATCH(D77,Config!$A$10:$A$19,0)),""))</f>
        <v/>
      </c>
      <c r="H77" s="24" t="str">
        <f aca="false">IF(A77="","",MONTH(A77))</f>
        <v/>
      </c>
      <c r="I77" s="20"/>
      <c r="J77" s="20"/>
    </row>
    <row r="78" customFormat="false" ht="15" hidden="false" customHeight="false" outlineLevel="0" collapsed="false">
      <c r="A78" s="19"/>
      <c r="B78" s="20"/>
      <c r="C78" s="21"/>
      <c r="D78" s="20"/>
      <c r="E78" s="22"/>
      <c r="F78" s="22"/>
      <c r="G78" s="23" t="str">
        <f aca="false">IF(D78="","",IFERROR(INDEX(Config!$B$10:$B$19,MATCH(D78,Config!$A$10:$A$19,0)),""))</f>
        <v/>
      </c>
      <c r="H78" s="24" t="str">
        <f aca="false">IF(A78="","",MONTH(A78))</f>
        <v/>
      </c>
      <c r="I78" s="20"/>
      <c r="J78" s="20"/>
    </row>
    <row r="79" customFormat="false" ht="15" hidden="false" customHeight="false" outlineLevel="0" collapsed="false">
      <c r="A79" s="19"/>
      <c r="B79" s="20"/>
      <c r="C79" s="21"/>
      <c r="D79" s="20"/>
      <c r="E79" s="22"/>
      <c r="F79" s="22"/>
      <c r="G79" s="23" t="str">
        <f aca="false">IF(D79="","",IFERROR(INDEX(Config!$B$10:$B$19,MATCH(D79,Config!$A$10:$A$19,0)),""))</f>
        <v/>
      </c>
      <c r="H79" s="24" t="str">
        <f aca="false">IF(A79="","",MONTH(A79))</f>
        <v/>
      </c>
      <c r="I79" s="20"/>
      <c r="J79" s="20"/>
    </row>
    <row r="80" customFormat="false" ht="15" hidden="false" customHeight="false" outlineLevel="0" collapsed="false">
      <c r="A80" s="19"/>
      <c r="B80" s="20"/>
      <c r="C80" s="21"/>
      <c r="D80" s="20"/>
      <c r="E80" s="22"/>
      <c r="F80" s="22"/>
      <c r="G80" s="23" t="str">
        <f aca="false">IF(D80="","",IFERROR(INDEX(Config!$B$10:$B$19,MATCH(D80,Config!$A$10:$A$19,0)),""))</f>
        <v/>
      </c>
      <c r="H80" s="24" t="str">
        <f aca="false">IF(A80="","",MONTH(A80))</f>
        <v/>
      </c>
      <c r="I80" s="20"/>
      <c r="J80" s="20"/>
    </row>
    <row r="81" customFormat="false" ht="15" hidden="false" customHeight="false" outlineLevel="0" collapsed="false">
      <c r="A81" s="19"/>
      <c r="B81" s="20"/>
      <c r="C81" s="21"/>
      <c r="D81" s="20"/>
      <c r="E81" s="22"/>
      <c r="F81" s="22"/>
      <c r="G81" s="23" t="str">
        <f aca="false">IF(D81="","",IFERROR(INDEX(Config!$B$10:$B$19,MATCH(D81,Config!$A$10:$A$19,0)),""))</f>
        <v/>
      </c>
      <c r="H81" s="24" t="str">
        <f aca="false">IF(A81="","",MONTH(A81))</f>
        <v/>
      </c>
      <c r="I81" s="20"/>
      <c r="J81" s="20"/>
    </row>
    <row r="82" customFormat="false" ht="15" hidden="false" customHeight="false" outlineLevel="0" collapsed="false">
      <c r="A82" s="19"/>
      <c r="B82" s="20"/>
      <c r="C82" s="21"/>
      <c r="D82" s="20"/>
      <c r="E82" s="22"/>
      <c r="F82" s="22"/>
      <c r="G82" s="23" t="str">
        <f aca="false">IF(D82="","",IFERROR(INDEX(Config!$B$10:$B$19,MATCH(D82,Config!$A$10:$A$19,0)),""))</f>
        <v/>
      </c>
      <c r="H82" s="24" t="str">
        <f aca="false">IF(A82="","",MONTH(A82))</f>
        <v/>
      </c>
      <c r="I82" s="20"/>
      <c r="J82" s="20"/>
    </row>
    <row r="83" customFormat="false" ht="15" hidden="false" customHeight="false" outlineLevel="0" collapsed="false">
      <c r="A83" s="19"/>
      <c r="B83" s="20"/>
      <c r="C83" s="21"/>
      <c r="D83" s="20"/>
      <c r="E83" s="22"/>
      <c r="F83" s="22"/>
      <c r="G83" s="23" t="str">
        <f aca="false">IF(D83="","",IFERROR(INDEX(Config!$B$10:$B$19,MATCH(D83,Config!$A$10:$A$19,0)),""))</f>
        <v/>
      </c>
      <c r="H83" s="24" t="str">
        <f aca="false">IF(A83="","",MONTH(A83))</f>
        <v/>
      </c>
      <c r="I83" s="20"/>
      <c r="J83" s="20"/>
    </row>
    <row r="84" customFormat="false" ht="15" hidden="false" customHeight="false" outlineLevel="0" collapsed="false">
      <c r="A84" s="19"/>
      <c r="B84" s="20"/>
      <c r="C84" s="21"/>
      <c r="D84" s="20"/>
      <c r="E84" s="22"/>
      <c r="F84" s="22"/>
      <c r="G84" s="23" t="str">
        <f aca="false">IF(D84="","",IFERROR(INDEX(Config!$B$10:$B$19,MATCH(D84,Config!$A$10:$A$19,0)),""))</f>
        <v/>
      </c>
      <c r="H84" s="24" t="str">
        <f aca="false">IF(A84="","",MONTH(A84))</f>
        <v/>
      </c>
      <c r="I84" s="20"/>
      <c r="J84" s="20"/>
    </row>
    <row r="85" customFormat="false" ht="15" hidden="false" customHeight="false" outlineLevel="0" collapsed="false">
      <c r="A85" s="19"/>
      <c r="B85" s="20"/>
      <c r="C85" s="21"/>
      <c r="D85" s="20"/>
      <c r="E85" s="22"/>
      <c r="F85" s="22"/>
      <c r="G85" s="23" t="str">
        <f aca="false">IF(D85="","",IFERROR(INDEX(Config!$B$10:$B$19,MATCH(D85,Config!$A$10:$A$19,0)),""))</f>
        <v/>
      </c>
      <c r="H85" s="24" t="str">
        <f aca="false">IF(A85="","",MONTH(A85))</f>
        <v/>
      </c>
      <c r="I85" s="20"/>
      <c r="J85" s="20"/>
    </row>
    <row r="86" customFormat="false" ht="15" hidden="false" customHeight="false" outlineLevel="0" collapsed="false">
      <c r="A86" s="19"/>
      <c r="B86" s="20"/>
      <c r="C86" s="21"/>
      <c r="D86" s="20"/>
      <c r="E86" s="22"/>
      <c r="F86" s="22"/>
      <c r="G86" s="23" t="str">
        <f aca="false">IF(D86="","",IFERROR(INDEX(Config!$B$10:$B$19,MATCH(D86,Config!$A$10:$A$19,0)),""))</f>
        <v/>
      </c>
      <c r="H86" s="24" t="str">
        <f aca="false">IF(A86="","",MONTH(A86))</f>
        <v/>
      </c>
      <c r="I86" s="20"/>
      <c r="J86" s="20"/>
    </row>
    <row r="87" customFormat="false" ht="15" hidden="false" customHeight="false" outlineLevel="0" collapsed="false">
      <c r="A87" s="19"/>
      <c r="B87" s="20"/>
      <c r="C87" s="21"/>
      <c r="D87" s="20"/>
      <c r="E87" s="22"/>
      <c r="F87" s="22"/>
      <c r="G87" s="23" t="str">
        <f aca="false">IF(D87="","",IFERROR(INDEX(Config!$B$10:$B$19,MATCH(D87,Config!$A$10:$A$19,0)),""))</f>
        <v/>
      </c>
      <c r="H87" s="24" t="str">
        <f aca="false">IF(A87="","",MONTH(A87))</f>
        <v/>
      </c>
      <c r="I87" s="20"/>
      <c r="J87" s="20"/>
    </row>
    <row r="88" customFormat="false" ht="15" hidden="false" customHeight="false" outlineLevel="0" collapsed="false">
      <c r="A88" s="19"/>
      <c r="B88" s="20"/>
      <c r="C88" s="21"/>
      <c r="D88" s="20"/>
      <c r="E88" s="22"/>
      <c r="F88" s="22"/>
      <c r="G88" s="23" t="str">
        <f aca="false">IF(D88="","",IFERROR(INDEX(Config!$B$10:$B$19,MATCH(D88,Config!$A$10:$A$19,0)),""))</f>
        <v/>
      </c>
      <c r="H88" s="24" t="str">
        <f aca="false">IF(A88="","",MONTH(A88))</f>
        <v/>
      </c>
      <c r="I88" s="20"/>
      <c r="J88" s="20"/>
    </row>
    <row r="89" customFormat="false" ht="15" hidden="false" customHeight="false" outlineLevel="0" collapsed="false">
      <c r="A89" s="19"/>
      <c r="B89" s="20"/>
      <c r="C89" s="21"/>
      <c r="D89" s="20"/>
      <c r="E89" s="22"/>
      <c r="F89" s="22"/>
      <c r="G89" s="23" t="str">
        <f aca="false">IF(D89="","",IFERROR(INDEX(Config!$B$10:$B$19,MATCH(D89,Config!$A$10:$A$19,0)),""))</f>
        <v/>
      </c>
      <c r="H89" s="24" t="str">
        <f aca="false">IF(A89="","",MONTH(A89))</f>
        <v/>
      </c>
      <c r="I89" s="20"/>
      <c r="J89" s="20"/>
    </row>
    <row r="90" customFormat="false" ht="15" hidden="false" customHeight="false" outlineLevel="0" collapsed="false">
      <c r="A90" s="19"/>
      <c r="B90" s="20"/>
      <c r="C90" s="21"/>
      <c r="D90" s="20"/>
      <c r="E90" s="22"/>
      <c r="F90" s="22"/>
      <c r="G90" s="23" t="str">
        <f aca="false">IF(D90="","",IFERROR(INDEX(Config!$B$10:$B$19,MATCH(D90,Config!$A$10:$A$19,0)),""))</f>
        <v/>
      </c>
      <c r="H90" s="24" t="str">
        <f aca="false">IF(A90="","",MONTH(A90))</f>
        <v/>
      </c>
      <c r="I90" s="20"/>
      <c r="J90" s="20"/>
    </row>
    <row r="91" customFormat="false" ht="15" hidden="false" customHeight="false" outlineLevel="0" collapsed="false">
      <c r="A91" s="19"/>
      <c r="B91" s="20"/>
      <c r="C91" s="21"/>
      <c r="D91" s="20"/>
      <c r="E91" s="22"/>
      <c r="F91" s="22"/>
      <c r="G91" s="23" t="str">
        <f aca="false">IF(D91="","",IFERROR(INDEX(Config!$B$10:$B$19,MATCH(D91,Config!$A$10:$A$19,0)),""))</f>
        <v/>
      </c>
      <c r="H91" s="24" t="str">
        <f aca="false">IF(A91="","",MONTH(A91))</f>
        <v/>
      </c>
      <c r="I91" s="20"/>
      <c r="J91" s="20"/>
    </row>
    <row r="92" customFormat="false" ht="15" hidden="false" customHeight="false" outlineLevel="0" collapsed="false">
      <c r="A92" s="19"/>
      <c r="B92" s="20"/>
      <c r="C92" s="21"/>
      <c r="D92" s="20"/>
      <c r="E92" s="22"/>
      <c r="F92" s="22"/>
      <c r="G92" s="23" t="str">
        <f aca="false">IF(D92="","",IFERROR(INDEX(Config!$B$10:$B$19,MATCH(D92,Config!$A$10:$A$19,0)),""))</f>
        <v/>
      </c>
      <c r="H92" s="24" t="str">
        <f aca="false">IF(A92="","",MONTH(A92))</f>
        <v/>
      </c>
      <c r="I92" s="20"/>
      <c r="J92" s="20"/>
    </row>
    <row r="93" customFormat="false" ht="15" hidden="false" customHeight="false" outlineLevel="0" collapsed="false">
      <c r="A93" s="19"/>
      <c r="B93" s="20"/>
      <c r="C93" s="21"/>
      <c r="D93" s="20"/>
      <c r="E93" s="22"/>
      <c r="F93" s="22"/>
      <c r="G93" s="23" t="str">
        <f aca="false">IF(D93="","",IFERROR(INDEX(Config!$B$10:$B$19,MATCH(D93,Config!$A$10:$A$19,0)),""))</f>
        <v/>
      </c>
      <c r="H93" s="24" t="str">
        <f aca="false">IF(A93="","",MONTH(A93))</f>
        <v/>
      </c>
      <c r="I93" s="20"/>
      <c r="J93" s="20"/>
    </row>
    <row r="94" customFormat="false" ht="15" hidden="false" customHeight="false" outlineLevel="0" collapsed="false">
      <c r="A94" s="19"/>
      <c r="B94" s="20"/>
      <c r="C94" s="21"/>
      <c r="D94" s="20"/>
      <c r="E94" s="22"/>
      <c r="F94" s="22"/>
      <c r="G94" s="23" t="str">
        <f aca="false">IF(D94="","",IFERROR(INDEX(Config!$B$10:$B$19,MATCH(D94,Config!$A$10:$A$19,0)),""))</f>
        <v/>
      </c>
      <c r="H94" s="24" t="str">
        <f aca="false">IF(A94="","",MONTH(A94))</f>
        <v/>
      </c>
      <c r="I94" s="20"/>
      <c r="J94" s="20"/>
    </row>
    <row r="95" customFormat="false" ht="15" hidden="false" customHeight="false" outlineLevel="0" collapsed="false">
      <c r="A95" s="19"/>
      <c r="B95" s="20"/>
      <c r="C95" s="21"/>
      <c r="D95" s="20"/>
      <c r="E95" s="22"/>
      <c r="F95" s="22"/>
      <c r="G95" s="23" t="str">
        <f aca="false">IF(D95="","",IFERROR(INDEX(Config!$B$10:$B$19,MATCH(D95,Config!$A$10:$A$19,0)),""))</f>
        <v/>
      </c>
      <c r="H95" s="24" t="str">
        <f aca="false">IF(A95="","",MONTH(A95))</f>
        <v/>
      </c>
      <c r="I95" s="20"/>
      <c r="J95" s="20"/>
    </row>
    <row r="96" customFormat="false" ht="15" hidden="false" customHeight="false" outlineLevel="0" collapsed="false">
      <c r="A96" s="19"/>
      <c r="B96" s="20"/>
      <c r="C96" s="21"/>
      <c r="D96" s="20"/>
      <c r="E96" s="22"/>
      <c r="F96" s="22"/>
      <c r="G96" s="23" t="str">
        <f aca="false">IF(D96="","",IFERROR(INDEX(Config!$B$10:$B$19,MATCH(D96,Config!$A$10:$A$19,0)),""))</f>
        <v/>
      </c>
      <c r="H96" s="24" t="str">
        <f aca="false">IF(A96="","",MONTH(A96))</f>
        <v/>
      </c>
      <c r="I96" s="20"/>
      <c r="J96" s="20"/>
    </row>
    <row r="97" customFormat="false" ht="15" hidden="false" customHeight="false" outlineLevel="0" collapsed="false">
      <c r="A97" s="19"/>
      <c r="B97" s="20"/>
      <c r="C97" s="21"/>
      <c r="D97" s="20"/>
      <c r="E97" s="22"/>
      <c r="F97" s="22"/>
      <c r="G97" s="23" t="str">
        <f aca="false">IF(D97="","",IFERROR(INDEX(Config!$B$10:$B$19,MATCH(D97,Config!$A$10:$A$19,0)),""))</f>
        <v/>
      </c>
      <c r="H97" s="24" t="str">
        <f aca="false">IF(A97="","",MONTH(A97))</f>
        <v/>
      </c>
      <c r="I97" s="20"/>
      <c r="J97" s="20"/>
    </row>
    <row r="98" customFormat="false" ht="15" hidden="false" customHeight="false" outlineLevel="0" collapsed="false">
      <c r="A98" s="19"/>
      <c r="B98" s="20"/>
      <c r="C98" s="21"/>
      <c r="D98" s="20"/>
      <c r="E98" s="22"/>
      <c r="F98" s="22"/>
      <c r="G98" s="23" t="str">
        <f aca="false">IF(D98="","",IFERROR(INDEX(Config!$B$10:$B$19,MATCH(D98,Config!$A$10:$A$19,0)),""))</f>
        <v/>
      </c>
      <c r="H98" s="24" t="str">
        <f aca="false">IF(A98="","",MONTH(A98))</f>
        <v/>
      </c>
      <c r="I98" s="20"/>
      <c r="J98" s="20"/>
    </row>
    <row r="99" customFormat="false" ht="15" hidden="false" customHeight="false" outlineLevel="0" collapsed="false">
      <c r="A99" s="19"/>
      <c r="B99" s="20"/>
      <c r="C99" s="21"/>
      <c r="D99" s="20"/>
      <c r="E99" s="22"/>
      <c r="F99" s="22"/>
      <c r="G99" s="23" t="str">
        <f aca="false">IF(D99="","",IFERROR(INDEX(Config!$B$10:$B$19,MATCH(D99,Config!$A$10:$A$19,0)),""))</f>
        <v/>
      </c>
      <c r="H99" s="24" t="str">
        <f aca="false">IF(A99="","",MONTH(A99))</f>
        <v/>
      </c>
      <c r="I99" s="20"/>
      <c r="J99" s="20"/>
    </row>
    <row r="100" customFormat="false" ht="15" hidden="false" customHeight="false" outlineLevel="0" collapsed="false">
      <c r="A100" s="19"/>
      <c r="B100" s="20"/>
      <c r="C100" s="21"/>
      <c r="D100" s="20"/>
      <c r="E100" s="22"/>
      <c r="F100" s="22"/>
      <c r="G100" s="23" t="str">
        <f aca="false">IF(D100="","",IFERROR(INDEX(Config!$B$10:$B$19,MATCH(D100,Config!$A$10:$A$19,0)),""))</f>
        <v/>
      </c>
      <c r="H100" s="24" t="str">
        <f aca="false">IF(A100="","",MONTH(A100))</f>
        <v/>
      </c>
      <c r="I100" s="20"/>
      <c r="J100" s="20"/>
    </row>
    <row r="101" customFormat="false" ht="15" hidden="false" customHeight="false" outlineLevel="0" collapsed="false">
      <c r="A101" s="19"/>
      <c r="B101" s="20"/>
      <c r="C101" s="21"/>
      <c r="D101" s="20"/>
      <c r="E101" s="22"/>
      <c r="F101" s="22"/>
      <c r="G101" s="23" t="str">
        <f aca="false">IF(D101="","",IFERROR(INDEX(Config!$B$10:$B$19,MATCH(D101,Config!$A$10:$A$19,0)),""))</f>
        <v/>
      </c>
      <c r="H101" s="24" t="str">
        <f aca="false">IF(A101="","",MONTH(A101))</f>
        <v/>
      </c>
      <c r="I101" s="20"/>
      <c r="J101" s="20"/>
    </row>
    <row r="102" customFormat="false" ht="15" hidden="false" customHeight="false" outlineLevel="0" collapsed="false">
      <c r="A102" s="19"/>
      <c r="B102" s="20"/>
      <c r="C102" s="21"/>
      <c r="D102" s="20"/>
      <c r="E102" s="22"/>
      <c r="F102" s="22"/>
      <c r="G102" s="23" t="str">
        <f aca="false">IF(D102="","",IFERROR(INDEX(Config!$B$10:$B$19,MATCH(D102,Config!$A$10:$A$19,0)),""))</f>
        <v/>
      </c>
      <c r="H102" s="24" t="str">
        <f aca="false">IF(A102="","",MONTH(A102))</f>
        <v/>
      </c>
      <c r="I102" s="20"/>
      <c r="J102" s="20"/>
    </row>
    <row r="103" customFormat="false" ht="15" hidden="false" customHeight="false" outlineLevel="0" collapsed="false">
      <c r="A103" s="19"/>
      <c r="B103" s="20"/>
      <c r="C103" s="21"/>
      <c r="D103" s="20"/>
      <c r="E103" s="22"/>
      <c r="F103" s="22"/>
      <c r="G103" s="23" t="str">
        <f aca="false">IF(D103="","",IFERROR(INDEX(Config!$B$10:$B$19,MATCH(D103,Config!$A$10:$A$19,0)),""))</f>
        <v/>
      </c>
      <c r="H103" s="24" t="str">
        <f aca="false">IF(A103="","",MONTH(A103))</f>
        <v/>
      </c>
      <c r="I103" s="20"/>
      <c r="J103" s="20"/>
    </row>
    <row r="104" customFormat="false" ht="15" hidden="false" customHeight="false" outlineLevel="0" collapsed="false">
      <c r="A104" s="19"/>
      <c r="B104" s="20"/>
      <c r="C104" s="21"/>
      <c r="D104" s="20"/>
      <c r="E104" s="22"/>
      <c r="F104" s="22"/>
      <c r="G104" s="23" t="str">
        <f aca="false">IF(D104="","",IFERROR(INDEX(Config!$B$10:$B$19,MATCH(D104,Config!$A$10:$A$19,0)),""))</f>
        <v/>
      </c>
      <c r="H104" s="24" t="str">
        <f aca="false">IF(A104="","",MONTH(A104))</f>
        <v/>
      </c>
      <c r="I104" s="20"/>
      <c r="J104" s="20"/>
    </row>
    <row r="105" customFormat="false" ht="15" hidden="false" customHeight="false" outlineLevel="0" collapsed="false">
      <c r="A105" s="19"/>
      <c r="B105" s="20"/>
      <c r="C105" s="21"/>
      <c r="D105" s="20"/>
      <c r="E105" s="22"/>
      <c r="F105" s="22"/>
      <c r="G105" s="23" t="str">
        <f aca="false">IF(D105="","",IFERROR(INDEX(Config!$B$10:$B$19,MATCH(D105,Config!$A$10:$A$19,0)),""))</f>
        <v/>
      </c>
      <c r="H105" s="24" t="str">
        <f aca="false">IF(A105="","",MONTH(A105))</f>
        <v/>
      </c>
      <c r="I105" s="20"/>
      <c r="J105" s="20"/>
    </row>
    <row r="106" customFormat="false" ht="15" hidden="false" customHeight="false" outlineLevel="0" collapsed="false">
      <c r="A106" s="19"/>
      <c r="B106" s="20"/>
      <c r="C106" s="21"/>
      <c r="D106" s="20"/>
      <c r="E106" s="22"/>
      <c r="F106" s="22"/>
      <c r="G106" s="23" t="str">
        <f aca="false">IF(D106="","",IFERROR(INDEX(Config!$B$10:$B$19,MATCH(D106,Config!$A$10:$A$19,0)),""))</f>
        <v/>
      </c>
      <c r="H106" s="24" t="str">
        <f aca="false">IF(A106="","",MONTH(A106))</f>
        <v/>
      </c>
      <c r="I106" s="20"/>
      <c r="J106" s="20"/>
    </row>
    <row r="107" customFormat="false" ht="15" hidden="false" customHeight="false" outlineLevel="0" collapsed="false">
      <c r="A107" s="19"/>
      <c r="B107" s="20"/>
      <c r="C107" s="21"/>
      <c r="D107" s="20"/>
      <c r="E107" s="22"/>
      <c r="F107" s="22"/>
      <c r="G107" s="23" t="str">
        <f aca="false">IF(D107="","",IFERROR(INDEX(Config!$B$10:$B$19,MATCH(D107,Config!$A$10:$A$19,0)),""))</f>
        <v/>
      </c>
      <c r="H107" s="24" t="str">
        <f aca="false">IF(A107="","",MONTH(A107))</f>
        <v/>
      </c>
      <c r="I107" s="20"/>
      <c r="J107" s="20"/>
    </row>
    <row r="108" customFormat="false" ht="15" hidden="false" customHeight="false" outlineLevel="0" collapsed="false">
      <c r="A108" s="19"/>
      <c r="B108" s="20"/>
      <c r="C108" s="21"/>
      <c r="D108" s="20"/>
      <c r="E108" s="22"/>
      <c r="F108" s="22"/>
      <c r="G108" s="23" t="str">
        <f aca="false">IF(D108="","",IFERROR(INDEX(Config!$B$10:$B$19,MATCH(D108,Config!$A$10:$A$19,0)),""))</f>
        <v/>
      </c>
      <c r="H108" s="24" t="str">
        <f aca="false">IF(A108="","",MONTH(A108))</f>
        <v/>
      </c>
      <c r="I108" s="20"/>
      <c r="J108" s="20"/>
    </row>
    <row r="109" customFormat="false" ht="15" hidden="false" customHeight="false" outlineLevel="0" collapsed="false">
      <c r="A109" s="19"/>
      <c r="B109" s="20"/>
      <c r="C109" s="21"/>
      <c r="D109" s="20"/>
      <c r="E109" s="22"/>
      <c r="F109" s="22"/>
      <c r="G109" s="23" t="str">
        <f aca="false">IF(D109="","",IFERROR(INDEX(Config!$B$10:$B$19,MATCH(D109,Config!$A$10:$A$19,0)),""))</f>
        <v/>
      </c>
      <c r="H109" s="24" t="str">
        <f aca="false">IF(A109="","",MONTH(A109))</f>
        <v/>
      </c>
      <c r="I109" s="20"/>
      <c r="J109" s="20"/>
    </row>
    <row r="110" customFormat="false" ht="15" hidden="false" customHeight="false" outlineLevel="0" collapsed="false">
      <c r="A110" s="19"/>
      <c r="B110" s="20"/>
      <c r="C110" s="21"/>
      <c r="D110" s="20"/>
      <c r="E110" s="22"/>
      <c r="F110" s="22"/>
      <c r="G110" s="23" t="str">
        <f aca="false">IF(D110="","",IFERROR(INDEX(Config!$B$10:$B$19,MATCH(D110,Config!$A$10:$A$19,0)),""))</f>
        <v/>
      </c>
      <c r="H110" s="24" t="str">
        <f aca="false">IF(A110="","",MONTH(A110))</f>
        <v/>
      </c>
      <c r="I110" s="20"/>
      <c r="J110" s="20"/>
    </row>
    <row r="111" customFormat="false" ht="15" hidden="false" customHeight="false" outlineLevel="0" collapsed="false">
      <c r="A111" s="19"/>
      <c r="B111" s="20"/>
      <c r="C111" s="21"/>
      <c r="D111" s="20"/>
      <c r="E111" s="22"/>
      <c r="F111" s="22"/>
      <c r="G111" s="23" t="str">
        <f aca="false">IF(D111="","",IFERROR(INDEX(Config!$B$10:$B$19,MATCH(D111,Config!$A$10:$A$19,0)),""))</f>
        <v/>
      </c>
      <c r="H111" s="24" t="str">
        <f aca="false">IF(A111="","",MONTH(A111))</f>
        <v/>
      </c>
      <c r="I111" s="20"/>
      <c r="J111" s="20"/>
    </row>
    <row r="112" customFormat="false" ht="15" hidden="false" customHeight="false" outlineLevel="0" collapsed="false">
      <c r="A112" s="19"/>
      <c r="B112" s="20"/>
      <c r="C112" s="21"/>
      <c r="D112" s="20"/>
      <c r="E112" s="22"/>
      <c r="F112" s="22"/>
      <c r="G112" s="23" t="str">
        <f aca="false">IF(D112="","",IFERROR(INDEX(Config!$B$10:$B$19,MATCH(D112,Config!$A$10:$A$19,0)),""))</f>
        <v/>
      </c>
      <c r="H112" s="24" t="str">
        <f aca="false">IF(A112="","",MONTH(A112))</f>
        <v/>
      </c>
      <c r="I112" s="20"/>
      <c r="J112" s="20"/>
    </row>
    <row r="113" customFormat="false" ht="15" hidden="false" customHeight="false" outlineLevel="0" collapsed="false">
      <c r="A113" s="19"/>
      <c r="B113" s="20"/>
      <c r="C113" s="21"/>
      <c r="D113" s="20"/>
      <c r="E113" s="22"/>
      <c r="F113" s="22"/>
      <c r="G113" s="23" t="str">
        <f aca="false">IF(D113="","",IFERROR(INDEX(Config!$B$10:$B$19,MATCH(D113,Config!$A$10:$A$19,0)),""))</f>
        <v/>
      </c>
      <c r="H113" s="24" t="str">
        <f aca="false">IF(A113="","",MONTH(A113))</f>
        <v/>
      </c>
      <c r="I113" s="20"/>
      <c r="J113" s="20"/>
    </row>
    <row r="114" customFormat="false" ht="15" hidden="false" customHeight="false" outlineLevel="0" collapsed="false">
      <c r="A114" s="19"/>
      <c r="B114" s="20"/>
      <c r="C114" s="21"/>
      <c r="D114" s="20"/>
      <c r="E114" s="22"/>
      <c r="F114" s="22"/>
      <c r="G114" s="23" t="str">
        <f aca="false">IF(D114="","",IFERROR(INDEX(Config!$B$10:$B$19,MATCH(D114,Config!$A$10:$A$19,0)),""))</f>
        <v/>
      </c>
      <c r="H114" s="24" t="str">
        <f aca="false">IF(A114="","",MONTH(A114))</f>
        <v/>
      </c>
      <c r="I114" s="20"/>
      <c r="J114" s="20"/>
    </row>
    <row r="115" customFormat="false" ht="15" hidden="false" customHeight="false" outlineLevel="0" collapsed="false">
      <c r="A115" s="19"/>
      <c r="B115" s="20"/>
      <c r="C115" s="21"/>
      <c r="D115" s="20"/>
      <c r="E115" s="22"/>
      <c r="F115" s="22"/>
      <c r="G115" s="23" t="str">
        <f aca="false">IF(D115="","",IFERROR(INDEX(Config!$B$10:$B$19,MATCH(D115,Config!$A$10:$A$19,0)),""))</f>
        <v/>
      </c>
      <c r="H115" s="24" t="str">
        <f aca="false">IF(A115="","",MONTH(A115))</f>
        <v/>
      </c>
      <c r="I115" s="20"/>
      <c r="J115" s="20"/>
    </row>
    <row r="116" customFormat="false" ht="15" hidden="false" customHeight="false" outlineLevel="0" collapsed="false">
      <c r="A116" s="19"/>
      <c r="B116" s="20"/>
      <c r="C116" s="21"/>
      <c r="D116" s="20"/>
      <c r="E116" s="22"/>
      <c r="F116" s="22"/>
      <c r="G116" s="23" t="str">
        <f aca="false">IF(D116="","",IFERROR(INDEX(Config!$B$10:$B$19,MATCH(D116,Config!$A$10:$A$19,0)),""))</f>
        <v/>
      </c>
      <c r="H116" s="24" t="str">
        <f aca="false">IF(A116="","",MONTH(A116))</f>
        <v/>
      </c>
      <c r="I116" s="20"/>
      <c r="J116" s="20"/>
    </row>
    <row r="117" customFormat="false" ht="15" hidden="false" customHeight="false" outlineLevel="0" collapsed="false">
      <c r="A117" s="19"/>
      <c r="B117" s="20"/>
      <c r="C117" s="21"/>
      <c r="D117" s="20"/>
      <c r="E117" s="22"/>
      <c r="F117" s="22"/>
      <c r="G117" s="23" t="str">
        <f aca="false">IF(D117="","",IFERROR(INDEX(Config!$B$10:$B$19,MATCH(D117,Config!$A$10:$A$19,0)),""))</f>
        <v/>
      </c>
      <c r="H117" s="24" t="str">
        <f aca="false">IF(A117="","",MONTH(A117))</f>
        <v/>
      </c>
      <c r="I117" s="20"/>
      <c r="J117" s="20"/>
    </row>
    <row r="118" customFormat="false" ht="15" hidden="false" customHeight="false" outlineLevel="0" collapsed="false">
      <c r="A118" s="19"/>
      <c r="B118" s="20"/>
      <c r="C118" s="21"/>
      <c r="D118" s="20"/>
      <c r="E118" s="22"/>
      <c r="F118" s="22"/>
      <c r="G118" s="23" t="str">
        <f aca="false">IF(D118="","",IFERROR(INDEX(Config!$B$10:$B$19,MATCH(D118,Config!$A$10:$A$19,0)),""))</f>
        <v/>
      </c>
      <c r="H118" s="24" t="str">
        <f aca="false">IF(A118="","",MONTH(A118))</f>
        <v/>
      </c>
      <c r="I118" s="20"/>
      <c r="J118" s="20"/>
    </row>
    <row r="119" customFormat="false" ht="15" hidden="false" customHeight="false" outlineLevel="0" collapsed="false">
      <c r="A119" s="19"/>
      <c r="B119" s="20"/>
      <c r="C119" s="21"/>
      <c r="D119" s="20"/>
      <c r="E119" s="22"/>
      <c r="F119" s="22"/>
      <c r="G119" s="23" t="str">
        <f aca="false">IF(D119="","",IFERROR(INDEX(Config!$B$10:$B$19,MATCH(D119,Config!$A$10:$A$19,0)),""))</f>
        <v/>
      </c>
      <c r="H119" s="24" t="str">
        <f aca="false">IF(A119="","",MONTH(A119))</f>
        <v/>
      </c>
      <c r="I119" s="20"/>
      <c r="J119" s="20"/>
    </row>
    <row r="120" customFormat="false" ht="15" hidden="false" customHeight="false" outlineLevel="0" collapsed="false">
      <c r="A120" s="19"/>
      <c r="B120" s="20"/>
      <c r="C120" s="21"/>
      <c r="D120" s="20"/>
      <c r="E120" s="22"/>
      <c r="F120" s="22"/>
      <c r="G120" s="23" t="str">
        <f aca="false">IF(D120="","",IFERROR(INDEX(Config!$B$10:$B$19,MATCH(D120,Config!$A$10:$A$19,0)),""))</f>
        <v/>
      </c>
      <c r="H120" s="24" t="str">
        <f aca="false">IF(A120="","",MONTH(A120))</f>
        <v/>
      </c>
      <c r="I120" s="20"/>
      <c r="J120" s="20"/>
    </row>
    <row r="121" customFormat="false" ht="15" hidden="false" customHeight="false" outlineLevel="0" collapsed="false">
      <c r="A121" s="19"/>
      <c r="B121" s="20"/>
      <c r="C121" s="21"/>
      <c r="D121" s="20"/>
      <c r="E121" s="22"/>
      <c r="F121" s="22"/>
      <c r="G121" s="23" t="str">
        <f aca="false">IF(D121="","",IFERROR(INDEX(Config!$B$10:$B$19,MATCH(D121,Config!$A$10:$A$19,0)),""))</f>
        <v/>
      </c>
      <c r="H121" s="24" t="str">
        <f aca="false">IF(A121="","",MONTH(A121))</f>
        <v/>
      </c>
      <c r="I121" s="20"/>
      <c r="J121" s="20"/>
    </row>
    <row r="122" customFormat="false" ht="15" hidden="false" customHeight="false" outlineLevel="0" collapsed="false">
      <c r="A122" s="19"/>
      <c r="B122" s="20"/>
      <c r="C122" s="21"/>
      <c r="D122" s="20"/>
      <c r="E122" s="22"/>
      <c r="F122" s="22"/>
      <c r="G122" s="23" t="str">
        <f aca="false">IF(D122="","",IFERROR(INDEX(Config!$B$10:$B$19,MATCH(D122,Config!$A$10:$A$19,0)),""))</f>
        <v/>
      </c>
      <c r="H122" s="24" t="str">
        <f aca="false">IF(A122="","",MONTH(A122))</f>
        <v/>
      </c>
      <c r="I122" s="20"/>
      <c r="J122" s="20"/>
    </row>
    <row r="123" customFormat="false" ht="15" hidden="false" customHeight="false" outlineLevel="0" collapsed="false">
      <c r="A123" s="19"/>
      <c r="B123" s="20"/>
      <c r="C123" s="21"/>
      <c r="D123" s="20"/>
      <c r="E123" s="22"/>
      <c r="F123" s="22"/>
      <c r="G123" s="23" t="str">
        <f aca="false">IF(D123="","",IFERROR(INDEX(Config!$B$10:$B$19,MATCH(D123,Config!$A$10:$A$19,0)),""))</f>
        <v/>
      </c>
      <c r="H123" s="24" t="str">
        <f aca="false">IF(A123="","",MONTH(A123))</f>
        <v/>
      </c>
      <c r="I123" s="20"/>
      <c r="J123" s="20"/>
    </row>
    <row r="124" customFormat="false" ht="15" hidden="false" customHeight="false" outlineLevel="0" collapsed="false">
      <c r="A124" s="19"/>
      <c r="B124" s="20"/>
      <c r="C124" s="21"/>
      <c r="D124" s="20"/>
      <c r="E124" s="22"/>
      <c r="F124" s="22"/>
      <c r="G124" s="23" t="str">
        <f aca="false">IF(D124="","",IFERROR(INDEX(Config!$B$10:$B$19,MATCH(D124,Config!$A$10:$A$19,0)),""))</f>
        <v/>
      </c>
      <c r="H124" s="24" t="str">
        <f aca="false">IF(A124="","",MONTH(A124))</f>
        <v/>
      </c>
      <c r="I124" s="20"/>
      <c r="J124" s="20"/>
    </row>
    <row r="125" customFormat="false" ht="15" hidden="false" customHeight="false" outlineLevel="0" collapsed="false">
      <c r="A125" s="19"/>
      <c r="B125" s="20"/>
      <c r="C125" s="21"/>
      <c r="D125" s="20"/>
      <c r="E125" s="22"/>
      <c r="F125" s="22"/>
      <c r="G125" s="23" t="str">
        <f aca="false">IF(D125="","",IFERROR(INDEX(Config!$B$10:$B$19,MATCH(D125,Config!$A$10:$A$19,0)),""))</f>
        <v/>
      </c>
      <c r="H125" s="24" t="str">
        <f aca="false">IF(A125="","",MONTH(A125))</f>
        <v/>
      </c>
      <c r="I125" s="20"/>
      <c r="J125" s="20"/>
    </row>
    <row r="126" customFormat="false" ht="15" hidden="false" customHeight="false" outlineLevel="0" collapsed="false">
      <c r="A126" s="19"/>
      <c r="B126" s="20"/>
      <c r="C126" s="21"/>
      <c r="D126" s="20"/>
      <c r="E126" s="22"/>
      <c r="F126" s="22"/>
      <c r="G126" s="23" t="str">
        <f aca="false">IF(D126="","",IFERROR(INDEX(Config!$B$10:$B$19,MATCH(D126,Config!$A$10:$A$19,0)),""))</f>
        <v/>
      </c>
      <c r="H126" s="24" t="str">
        <f aca="false">IF(A126="","",MONTH(A126))</f>
        <v/>
      </c>
      <c r="I126" s="20"/>
      <c r="J126" s="20"/>
    </row>
    <row r="127" customFormat="false" ht="15" hidden="false" customHeight="false" outlineLevel="0" collapsed="false">
      <c r="A127" s="19"/>
      <c r="B127" s="20"/>
      <c r="C127" s="21"/>
      <c r="D127" s="20"/>
      <c r="E127" s="22"/>
      <c r="F127" s="22"/>
      <c r="G127" s="23" t="str">
        <f aca="false">IF(D127="","",IFERROR(INDEX(Config!$B$10:$B$19,MATCH(D127,Config!$A$10:$A$19,0)),""))</f>
        <v/>
      </c>
      <c r="H127" s="24" t="str">
        <f aca="false">IF(A127="","",MONTH(A127))</f>
        <v/>
      </c>
      <c r="I127" s="20"/>
      <c r="J127" s="20"/>
    </row>
    <row r="128" customFormat="false" ht="15" hidden="false" customHeight="false" outlineLevel="0" collapsed="false">
      <c r="A128" s="19"/>
      <c r="B128" s="20"/>
      <c r="C128" s="21"/>
      <c r="D128" s="20"/>
      <c r="E128" s="22"/>
      <c r="F128" s="22"/>
      <c r="G128" s="23" t="str">
        <f aca="false">IF(D128="","",IFERROR(INDEX(Config!$B$10:$B$19,MATCH(D128,Config!$A$10:$A$19,0)),""))</f>
        <v/>
      </c>
      <c r="H128" s="24" t="str">
        <f aca="false">IF(A128="","",MONTH(A128))</f>
        <v/>
      </c>
      <c r="I128" s="20"/>
      <c r="J128" s="20"/>
    </row>
    <row r="129" customFormat="false" ht="15" hidden="false" customHeight="false" outlineLevel="0" collapsed="false">
      <c r="A129" s="19"/>
      <c r="B129" s="20"/>
      <c r="C129" s="21"/>
      <c r="D129" s="20"/>
      <c r="E129" s="22"/>
      <c r="F129" s="22"/>
      <c r="G129" s="23" t="str">
        <f aca="false">IF(D129="","",IFERROR(INDEX(Config!$B$10:$B$19,MATCH(D129,Config!$A$10:$A$19,0)),""))</f>
        <v/>
      </c>
      <c r="H129" s="24" t="str">
        <f aca="false">IF(A129="","",MONTH(A129))</f>
        <v/>
      </c>
      <c r="I129" s="20"/>
      <c r="J129" s="20"/>
    </row>
    <row r="130" customFormat="false" ht="15" hidden="false" customHeight="false" outlineLevel="0" collapsed="false">
      <c r="A130" s="19"/>
      <c r="B130" s="20"/>
      <c r="C130" s="21"/>
      <c r="D130" s="20"/>
      <c r="E130" s="22"/>
      <c r="F130" s="22"/>
      <c r="G130" s="23" t="str">
        <f aca="false">IF(D130="","",IFERROR(INDEX(Config!$B$10:$B$19,MATCH(D130,Config!$A$10:$A$19,0)),""))</f>
        <v/>
      </c>
      <c r="H130" s="24" t="str">
        <f aca="false">IF(A130="","",MONTH(A130))</f>
        <v/>
      </c>
      <c r="I130" s="20"/>
      <c r="J130" s="20"/>
    </row>
    <row r="131" customFormat="false" ht="15" hidden="false" customHeight="false" outlineLevel="0" collapsed="false">
      <c r="A131" s="19"/>
      <c r="B131" s="20"/>
      <c r="C131" s="21"/>
      <c r="D131" s="20"/>
      <c r="E131" s="22"/>
      <c r="F131" s="22"/>
      <c r="G131" s="23" t="str">
        <f aca="false">IF(D131="","",IFERROR(INDEX(Config!$B$10:$B$19,MATCH(D131,Config!$A$10:$A$19,0)),""))</f>
        <v/>
      </c>
      <c r="H131" s="24" t="str">
        <f aca="false">IF(A131="","",MONTH(A131))</f>
        <v/>
      </c>
      <c r="I131" s="20"/>
      <c r="J131" s="20"/>
    </row>
    <row r="132" customFormat="false" ht="15" hidden="false" customHeight="false" outlineLevel="0" collapsed="false">
      <c r="A132" s="19"/>
      <c r="B132" s="20"/>
      <c r="C132" s="21"/>
      <c r="D132" s="20"/>
      <c r="E132" s="22"/>
      <c r="F132" s="22"/>
      <c r="G132" s="23" t="str">
        <f aca="false">IF(D132="","",IFERROR(INDEX(Config!$B$10:$B$19,MATCH(D132,Config!$A$10:$A$19,0)),""))</f>
        <v/>
      </c>
      <c r="H132" s="24" t="str">
        <f aca="false">IF(A132="","",MONTH(A132))</f>
        <v/>
      </c>
      <c r="I132" s="20"/>
      <c r="J132" s="20"/>
    </row>
    <row r="133" customFormat="false" ht="15" hidden="false" customHeight="false" outlineLevel="0" collapsed="false">
      <c r="A133" s="19"/>
      <c r="B133" s="20"/>
      <c r="C133" s="21"/>
      <c r="D133" s="20"/>
      <c r="E133" s="22"/>
      <c r="F133" s="22"/>
      <c r="G133" s="23" t="str">
        <f aca="false">IF(D133="","",IFERROR(INDEX(Config!$B$10:$B$19,MATCH(D133,Config!$A$10:$A$19,0)),""))</f>
        <v/>
      </c>
      <c r="H133" s="24" t="str">
        <f aca="false">IF(A133="","",MONTH(A133))</f>
        <v/>
      </c>
      <c r="I133" s="20"/>
      <c r="J133" s="20"/>
    </row>
    <row r="134" customFormat="false" ht="15" hidden="false" customHeight="false" outlineLevel="0" collapsed="false">
      <c r="A134" s="19"/>
      <c r="B134" s="20"/>
      <c r="C134" s="21"/>
      <c r="D134" s="20"/>
      <c r="E134" s="22"/>
      <c r="F134" s="22"/>
      <c r="G134" s="23" t="str">
        <f aca="false">IF(D134="","",IFERROR(INDEX(Config!$B$10:$B$19,MATCH(D134,Config!$A$10:$A$19,0)),""))</f>
        <v/>
      </c>
      <c r="H134" s="24" t="str">
        <f aca="false">IF(A134="","",MONTH(A134))</f>
        <v/>
      </c>
      <c r="I134" s="20"/>
      <c r="J134" s="20"/>
    </row>
    <row r="135" customFormat="false" ht="15" hidden="false" customHeight="false" outlineLevel="0" collapsed="false">
      <c r="A135" s="19"/>
      <c r="B135" s="20"/>
      <c r="C135" s="21"/>
      <c r="D135" s="20"/>
      <c r="E135" s="22"/>
      <c r="F135" s="22"/>
      <c r="G135" s="23" t="str">
        <f aca="false">IF(D135="","",IFERROR(INDEX(Config!$B$10:$B$19,MATCH(D135,Config!$A$10:$A$19,0)),""))</f>
        <v/>
      </c>
      <c r="H135" s="24" t="str">
        <f aca="false">IF(A135="","",MONTH(A135))</f>
        <v/>
      </c>
      <c r="I135" s="20"/>
      <c r="J135" s="20"/>
    </row>
    <row r="136" customFormat="false" ht="15" hidden="false" customHeight="false" outlineLevel="0" collapsed="false">
      <c r="A136" s="19"/>
      <c r="B136" s="20"/>
      <c r="C136" s="21"/>
      <c r="D136" s="20"/>
      <c r="E136" s="22"/>
      <c r="F136" s="22"/>
      <c r="G136" s="23" t="str">
        <f aca="false">IF(D136="","",IFERROR(INDEX(Config!$B$10:$B$19,MATCH(D136,Config!$A$10:$A$19,0)),""))</f>
        <v/>
      </c>
      <c r="H136" s="24" t="str">
        <f aca="false">IF(A136="","",MONTH(A136))</f>
        <v/>
      </c>
      <c r="I136" s="20"/>
      <c r="J136" s="20"/>
    </row>
    <row r="137" customFormat="false" ht="15" hidden="false" customHeight="false" outlineLevel="0" collapsed="false">
      <c r="A137" s="19"/>
      <c r="B137" s="20"/>
      <c r="C137" s="21"/>
      <c r="D137" s="20"/>
      <c r="E137" s="22"/>
      <c r="F137" s="22"/>
      <c r="G137" s="23" t="str">
        <f aca="false">IF(D137="","",IFERROR(INDEX(Config!$B$10:$B$19,MATCH(D137,Config!$A$10:$A$19,0)),""))</f>
        <v/>
      </c>
      <c r="H137" s="24" t="str">
        <f aca="false">IF(A137="","",MONTH(A137))</f>
        <v/>
      </c>
      <c r="I137" s="20"/>
      <c r="J137" s="20"/>
    </row>
    <row r="138" customFormat="false" ht="15" hidden="false" customHeight="false" outlineLevel="0" collapsed="false">
      <c r="A138" s="19"/>
      <c r="B138" s="20"/>
      <c r="C138" s="21"/>
      <c r="D138" s="20"/>
      <c r="E138" s="22"/>
      <c r="F138" s="22"/>
      <c r="G138" s="23" t="str">
        <f aca="false">IF(D138="","",IFERROR(INDEX(Config!$B$10:$B$19,MATCH(D138,Config!$A$10:$A$19,0)),""))</f>
        <v/>
      </c>
      <c r="H138" s="24" t="str">
        <f aca="false">IF(A138="","",MONTH(A138))</f>
        <v/>
      </c>
      <c r="I138" s="20"/>
      <c r="J138" s="20"/>
    </row>
    <row r="139" customFormat="false" ht="15" hidden="false" customHeight="false" outlineLevel="0" collapsed="false">
      <c r="A139" s="19"/>
      <c r="B139" s="20"/>
      <c r="C139" s="21"/>
      <c r="D139" s="20"/>
      <c r="E139" s="22"/>
      <c r="F139" s="22"/>
      <c r="G139" s="23" t="str">
        <f aca="false">IF(D139="","",IFERROR(INDEX(Config!$B$10:$B$19,MATCH(D139,Config!$A$10:$A$19,0)),""))</f>
        <v/>
      </c>
      <c r="H139" s="24" t="str">
        <f aca="false">IF(A139="","",MONTH(A139))</f>
        <v/>
      </c>
      <c r="I139" s="20"/>
      <c r="J139" s="20"/>
    </row>
    <row r="140" customFormat="false" ht="15" hidden="false" customHeight="false" outlineLevel="0" collapsed="false">
      <c r="A140" s="19"/>
      <c r="B140" s="20"/>
      <c r="C140" s="21"/>
      <c r="D140" s="20"/>
      <c r="E140" s="22"/>
      <c r="F140" s="22"/>
      <c r="G140" s="23" t="str">
        <f aca="false">IF(D140="","",IFERROR(INDEX(Config!$B$10:$B$19,MATCH(D140,Config!$A$10:$A$19,0)),""))</f>
        <v/>
      </c>
      <c r="H140" s="24" t="str">
        <f aca="false">IF(A140="","",MONTH(A140))</f>
        <v/>
      </c>
      <c r="I140" s="20"/>
      <c r="J140" s="20"/>
    </row>
    <row r="141" customFormat="false" ht="15" hidden="false" customHeight="false" outlineLevel="0" collapsed="false">
      <c r="A141" s="19"/>
      <c r="B141" s="20"/>
      <c r="C141" s="21"/>
      <c r="D141" s="20"/>
      <c r="E141" s="22"/>
      <c r="F141" s="22"/>
      <c r="G141" s="23" t="str">
        <f aca="false">IF(D141="","",IFERROR(INDEX(Config!$B$10:$B$19,MATCH(D141,Config!$A$10:$A$19,0)),""))</f>
        <v/>
      </c>
      <c r="H141" s="24" t="str">
        <f aca="false">IF(A141="","",MONTH(A141))</f>
        <v/>
      </c>
      <c r="I141" s="20"/>
      <c r="J141" s="20"/>
    </row>
    <row r="142" customFormat="false" ht="15" hidden="false" customHeight="false" outlineLevel="0" collapsed="false">
      <c r="A142" s="19"/>
      <c r="B142" s="20"/>
      <c r="C142" s="21"/>
      <c r="D142" s="20"/>
      <c r="E142" s="22"/>
      <c r="F142" s="22"/>
      <c r="G142" s="23" t="str">
        <f aca="false">IF(D142="","",IFERROR(INDEX(Config!$B$10:$B$19,MATCH(D142,Config!$A$10:$A$19,0)),""))</f>
        <v/>
      </c>
      <c r="H142" s="24" t="str">
        <f aca="false">IF(A142="","",MONTH(A142))</f>
        <v/>
      </c>
      <c r="I142" s="20"/>
      <c r="J142" s="20"/>
    </row>
    <row r="143" customFormat="false" ht="15" hidden="false" customHeight="false" outlineLevel="0" collapsed="false">
      <c r="A143" s="19"/>
      <c r="B143" s="20"/>
      <c r="C143" s="21"/>
      <c r="D143" s="20"/>
      <c r="E143" s="22"/>
      <c r="F143" s="22"/>
      <c r="G143" s="23" t="str">
        <f aca="false">IF(D143="","",IFERROR(INDEX(Config!$B$10:$B$19,MATCH(D143,Config!$A$10:$A$19,0)),""))</f>
        <v/>
      </c>
      <c r="H143" s="24" t="str">
        <f aca="false">IF(A143="","",MONTH(A143))</f>
        <v/>
      </c>
      <c r="I143" s="20"/>
      <c r="J143" s="20"/>
    </row>
    <row r="144" customFormat="false" ht="15" hidden="false" customHeight="false" outlineLevel="0" collapsed="false">
      <c r="A144" s="19"/>
      <c r="B144" s="20"/>
      <c r="C144" s="21"/>
      <c r="D144" s="20"/>
      <c r="E144" s="22"/>
      <c r="F144" s="22"/>
      <c r="G144" s="23" t="str">
        <f aca="false">IF(D144="","",IFERROR(INDEX(Config!$B$10:$B$19,MATCH(D144,Config!$A$10:$A$19,0)),""))</f>
        <v/>
      </c>
      <c r="H144" s="24" t="str">
        <f aca="false">IF(A144="","",MONTH(A144))</f>
        <v/>
      </c>
      <c r="I144" s="20"/>
      <c r="J144" s="20"/>
    </row>
    <row r="145" customFormat="false" ht="15" hidden="false" customHeight="false" outlineLevel="0" collapsed="false">
      <c r="A145" s="19"/>
      <c r="B145" s="20"/>
      <c r="C145" s="21"/>
      <c r="D145" s="20"/>
      <c r="E145" s="22"/>
      <c r="F145" s="22"/>
      <c r="G145" s="23" t="str">
        <f aca="false">IF(D145="","",IFERROR(INDEX(Config!$B$10:$B$19,MATCH(D145,Config!$A$10:$A$19,0)),""))</f>
        <v/>
      </c>
      <c r="H145" s="24" t="str">
        <f aca="false">IF(A145="","",MONTH(A145))</f>
        <v/>
      </c>
      <c r="I145" s="20"/>
      <c r="J145" s="20"/>
    </row>
    <row r="146" customFormat="false" ht="15" hidden="false" customHeight="false" outlineLevel="0" collapsed="false">
      <c r="A146" s="19"/>
      <c r="B146" s="20"/>
      <c r="C146" s="21"/>
      <c r="D146" s="20"/>
      <c r="E146" s="22"/>
      <c r="F146" s="22"/>
      <c r="G146" s="23" t="str">
        <f aca="false">IF(D146="","",IFERROR(INDEX(Config!$B$10:$B$19,MATCH(D146,Config!$A$10:$A$19,0)),""))</f>
        <v/>
      </c>
      <c r="H146" s="24" t="str">
        <f aca="false">IF(A146="","",MONTH(A146))</f>
        <v/>
      </c>
      <c r="I146" s="20"/>
      <c r="J146" s="20"/>
    </row>
    <row r="147" customFormat="false" ht="15" hidden="false" customHeight="false" outlineLevel="0" collapsed="false">
      <c r="A147" s="19"/>
      <c r="B147" s="20"/>
      <c r="C147" s="21"/>
      <c r="D147" s="20"/>
      <c r="E147" s="22"/>
      <c r="F147" s="22"/>
      <c r="G147" s="23" t="str">
        <f aca="false">IF(D147="","",IFERROR(INDEX(Config!$B$10:$B$19,MATCH(D147,Config!$A$10:$A$19,0)),""))</f>
        <v/>
      </c>
      <c r="H147" s="24" t="str">
        <f aca="false">IF(A147="","",MONTH(A147))</f>
        <v/>
      </c>
      <c r="I147" s="20"/>
      <c r="J147" s="20"/>
    </row>
    <row r="148" customFormat="false" ht="15" hidden="false" customHeight="false" outlineLevel="0" collapsed="false">
      <c r="A148" s="19"/>
      <c r="B148" s="20"/>
      <c r="C148" s="21"/>
      <c r="D148" s="20"/>
      <c r="E148" s="22"/>
      <c r="F148" s="22"/>
      <c r="G148" s="23" t="str">
        <f aca="false">IF(D148="","",IFERROR(INDEX(Config!$B$10:$B$19,MATCH(D148,Config!$A$10:$A$19,0)),""))</f>
        <v/>
      </c>
      <c r="H148" s="24" t="str">
        <f aca="false">IF(A148="","",MONTH(A148))</f>
        <v/>
      </c>
      <c r="I148" s="20"/>
      <c r="J148" s="20"/>
    </row>
    <row r="149" customFormat="false" ht="15" hidden="false" customHeight="false" outlineLevel="0" collapsed="false">
      <c r="A149" s="19"/>
      <c r="B149" s="20"/>
      <c r="C149" s="21"/>
      <c r="D149" s="20"/>
      <c r="E149" s="22"/>
      <c r="F149" s="22"/>
      <c r="G149" s="23" t="str">
        <f aca="false">IF(D149="","",IFERROR(INDEX(Config!$B$10:$B$19,MATCH(D149,Config!$A$10:$A$19,0)),""))</f>
        <v/>
      </c>
      <c r="H149" s="24" t="str">
        <f aca="false">IF(A149="","",MONTH(A149))</f>
        <v/>
      </c>
      <c r="I149" s="20"/>
      <c r="J149" s="20"/>
    </row>
    <row r="150" customFormat="false" ht="15" hidden="false" customHeight="false" outlineLevel="0" collapsed="false">
      <c r="A150" s="19"/>
      <c r="B150" s="20"/>
      <c r="C150" s="21"/>
      <c r="D150" s="20"/>
      <c r="E150" s="22"/>
      <c r="F150" s="22"/>
      <c r="G150" s="23" t="str">
        <f aca="false">IF(D150="","",IFERROR(INDEX(Config!$B$10:$B$19,MATCH(D150,Config!$A$10:$A$19,0)),""))</f>
        <v/>
      </c>
      <c r="H150" s="24" t="str">
        <f aca="false">IF(A150="","",MONTH(A150))</f>
        <v/>
      </c>
      <c r="I150" s="20"/>
      <c r="J150" s="20"/>
    </row>
    <row r="151" customFormat="false" ht="15" hidden="false" customHeight="false" outlineLevel="0" collapsed="false">
      <c r="A151" s="19"/>
      <c r="B151" s="20"/>
      <c r="C151" s="21"/>
      <c r="D151" s="20"/>
      <c r="E151" s="22"/>
      <c r="F151" s="22"/>
      <c r="G151" s="23" t="str">
        <f aca="false">IF(D151="","",IFERROR(INDEX(Config!$B$10:$B$19,MATCH(D151,Config!$A$10:$A$19,0)),""))</f>
        <v/>
      </c>
      <c r="H151" s="24" t="str">
        <f aca="false">IF(A151="","",MONTH(A151))</f>
        <v/>
      </c>
      <c r="I151" s="20"/>
      <c r="J151" s="20"/>
    </row>
    <row r="152" customFormat="false" ht="15" hidden="false" customHeight="false" outlineLevel="0" collapsed="false">
      <c r="A152" s="19"/>
      <c r="B152" s="20"/>
      <c r="C152" s="21"/>
      <c r="D152" s="20"/>
      <c r="E152" s="22"/>
      <c r="F152" s="22"/>
      <c r="G152" s="23" t="str">
        <f aca="false">IF(D152="","",IFERROR(INDEX(Config!$B$10:$B$19,MATCH(D152,Config!$A$10:$A$19,0)),""))</f>
        <v/>
      </c>
      <c r="H152" s="24" t="str">
        <f aca="false">IF(A152="","",MONTH(A152))</f>
        <v/>
      </c>
      <c r="I152" s="20"/>
      <c r="J152" s="20"/>
    </row>
    <row r="153" customFormat="false" ht="15" hidden="false" customHeight="false" outlineLevel="0" collapsed="false">
      <c r="A153" s="19"/>
      <c r="B153" s="20"/>
      <c r="C153" s="21"/>
      <c r="D153" s="20"/>
      <c r="E153" s="22"/>
      <c r="F153" s="22"/>
      <c r="G153" s="23" t="str">
        <f aca="false">IF(D153="","",IFERROR(INDEX(Config!$B$10:$B$19,MATCH(D153,Config!$A$10:$A$19,0)),""))</f>
        <v/>
      </c>
      <c r="H153" s="24" t="str">
        <f aca="false">IF(A153="","",MONTH(A153))</f>
        <v/>
      </c>
      <c r="I153" s="20"/>
      <c r="J153" s="20"/>
    </row>
    <row r="154" customFormat="false" ht="15" hidden="false" customHeight="false" outlineLevel="0" collapsed="false">
      <c r="A154" s="19"/>
      <c r="B154" s="20"/>
      <c r="C154" s="21"/>
      <c r="D154" s="20"/>
      <c r="E154" s="22"/>
      <c r="F154" s="22"/>
      <c r="G154" s="23" t="str">
        <f aca="false">IF(D154="","",IFERROR(INDEX(Config!$B$10:$B$19,MATCH(D154,Config!$A$10:$A$19,0)),""))</f>
        <v/>
      </c>
      <c r="H154" s="24" t="str">
        <f aca="false">IF(A154="","",MONTH(A154))</f>
        <v/>
      </c>
      <c r="I154" s="20"/>
      <c r="J154" s="20"/>
    </row>
    <row r="155" customFormat="false" ht="15" hidden="false" customHeight="false" outlineLevel="0" collapsed="false">
      <c r="A155" s="19"/>
      <c r="B155" s="20"/>
      <c r="C155" s="21"/>
      <c r="D155" s="20"/>
      <c r="E155" s="22"/>
      <c r="F155" s="22"/>
      <c r="G155" s="23" t="str">
        <f aca="false">IF(D155="","",IFERROR(INDEX(Config!$B$10:$B$19,MATCH(D155,Config!$A$10:$A$19,0)),""))</f>
        <v/>
      </c>
      <c r="H155" s="24" t="str">
        <f aca="false">IF(A155="","",MONTH(A155))</f>
        <v/>
      </c>
      <c r="I155" s="20"/>
      <c r="J155" s="20"/>
    </row>
    <row r="156" customFormat="false" ht="15" hidden="false" customHeight="false" outlineLevel="0" collapsed="false">
      <c r="A156" s="19"/>
      <c r="B156" s="20"/>
      <c r="C156" s="21"/>
      <c r="D156" s="20"/>
      <c r="E156" s="22"/>
      <c r="F156" s="22"/>
      <c r="G156" s="23" t="str">
        <f aca="false">IF(D156="","",IFERROR(INDEX(Config!$B$10:$B$19,MATCH(D156,Config!$A$10:$A$19,0)),""))</f>
        <v/>
      </c>
      <c r="H156" s="24" t="str">
        <f aca="false">IF(A156="","",MONTH(A156))</f>
        <v/>
      </c>
      <c r="I156" s="20"/>
      <c r="J156" s="20"/>
    </row>
    <row r="157" customFormat="false" ht="15" hidden="false" customHeight="false" outlineLevel="0" collapsed="false">
      <c r="A157" s="19"/>
      <c r="B157" s="20"/>
      <c r="C157" s="21"/>
      <c r="D157" s="20"/>
      <c r="E157" s="22"/>
      <c r="F157" s="22"/>
      <c r="G157" s="23" t="str">
        <f aca="false">IF(D157="","",IFERROR(INDEX(Config!$B$10:$B$19,MATCH(D157,Config!$A$10:$A$19,0)),""))</f>
        <v/>
      </c>
      <c r="H157" s="24" t="str">
        <f aca="false">IF(A157="","",MONTH(A157))</f>
        <v/>
      </c>
      <c r="I157" s="20"/>
      <c r="J157" s="20"/>
    </row>
    <row r="158" customFormat="false" ht="15" hidden="false" customHeight="false" outlineLevel="0" collapsed="false">
      <c r="A158" s="19"/>
      <c r="B158" s="20"/>
      <c r="C158" s="21"/>
      <c r="D158" s="20"/>
      <c r="E158" s="22"/>
      <c r="F158" s="22"/>
      <c r="G158" s="23" t="str">
        <f aca="false">IF(D158="","",IFERROR(INDEX(Config!$B$10:$B$19,MATCH(D158,Config!$A$10:$A$19,0)),""))</f>
        <v/>
      </c>
      <c r="H158" s="24" t="str">
        <f aca="false">IF(A158="","",MONTH(A158))</f>
        <v/>
      </c>
      <c r="I158" s="20"/>
      <c r="J158" s="20"/>
    </row>
    <row r="159" customFormat="false" ht="15" hidden="false" customHeight="false" outlineLevel="0" collapsed="false">
      <c r="A159" s="19"/>
      <c r="B159" s="20"/>
      <c r="C159" s="21"/>
      <c r="D159" s="20"/>
      <c r="E159" s="22"/>
      <c r="F159" s="22"/>
      <c r="G159" s="23" t="str">
        <f aca="false">IF(D159="","",IFERROR(INDEX(Config!$B$10:$B$19,MATCH(D159,Config!$A$10:$A$19,0)),""))</f>
        <v/>
      </c>
      <c r="H159" s="24" t="str">
        <f aca="false">IF(A159="","",MONTH(A159))</f>
        <v/>
      </c>
      <c r="I159" s="20"/>
      <c r="J159" s="20"/>
    </row>
    <row r="160" customFormat="false" ht="15" hidden="false" customHeight="false" outlineLevel="0" collapsed="false">
      <c r="A160" s="19"/>
      <c r="B160" s="20"/>
      <c r="C160" s="21"/>
      <c r="D160" s="20"/>
      <c r="E160" s="22"/>
      <c r="F160" s="22"/>
      <c r="G160" s="23" t="str">
        <f aca="false">IF(D160="","",IFERROR(INDEX(Config!$B$10:$B$19,MATCH(D160,Config!$A$10:$A$19,0)),""))</f>
        <v/>
      </c>
      <c r="H160" s="24" t="str">
        <f aca="false">IF(A160="","",MONTH(A160))</f>
        <v/>
      </c>
      <c r="I160" s="20"/>
      <c r="J160" s="20"/>
    </row>
    <row r="161" customFormat="false" ht="15" hidden="false" customHeight="false" outlineLevel="0" collapsed="false">
      <c r="A161" s="19"/>
      <c r="B161" s="20"/>
      <c r="C161" s="21"/>
      <c r="D161" s="20"/>
      <c r="E161" s="22"/>
      <c r="F161" s="22"/>
      <c r="G161" s="23" t="str">
        <f aca="false">IF(D161="","",IFERROR(INDEX(Config!$B$10:$B$19,MATCH(D161,Config!$A$10:$A$19,0)),""))</f>
        <v/>
      </c>
      <c r="H161" s="24" t="str">
        <f aca="false">IF(A161="","",MONTH(A161))</f>
        <v/>
      </c>
      <c r="I161" s="20"/>
      <c r="J161" s="20"/>
    </row>
    <row r="162" customFormat="false" ht="15" hidden="false" customHeight="false" outlineLevel="0" collapsed="false">
      <c r="A162" s="19"/>
      <c r="B162" s="20"/>
      <c r="C162" s="21"/>
      <c r="D162" s="20"/>
      <c r="E162" s="22"/>
      <c r="F162" s="22"/>
      <c r="G162" s="23" t="str">
        <f aca="false">IF(D162="","",IFERROR(INDEX(Config!$B$10:$B$19,MATCH(D162,Config!$A$10:$A$19,0)),""))</f>
        <v/>
      </c>
      <c r="H162" s="24" t="str">
        <f aca="false">IF(A162="","",MONTH(A162))</f>
        <v/>
      </c>
      <c r="I162" s="20"/>
      <c r="J162" s="20"/>
    </row>
    <row r="163" customFormat="false" ht="15" hidden="false" customHeight="false" outlineLevel="0" collapsed="false">
      <c r="A163" s="19"/>
      <c r="B163" s="20"/>
      <c r="C163" s="21"/>
      <c r="D163" s="20"/>
      <c r="E163" s="22"/>
      <c r="F163" s="22"/>
      <c r="G163" s="23" t="str">
        <f aca="false">IF(D163="","",IFERROR(INDEX(Config!$B$10:$B$19,MATCH(D163,Config!$A$10:$A$19,0)),""))</f>
        <v/>
      </c>
      <c r="H163" s="24" t="str">
        <f aca="false">IF(A163="","",MONTH(A163))</f>
        <v/>
      </c>
      <c r="I163" s="20"/>
      <c r="J163" s="20"/>
    </row>
    <row r="164" customFormat="false" ht="15" hidden="false" customHeight="false" outlineLevel="0" collapsed="false">
      <c r="A164" s="19"/>
      <c r="B164" s="20"/>
      <c r="C164" s="21"/>
      <c r="D164" s="20"/>
      <c r="E164" s="22"/>
      <c r="F164" s="22"/>
      <c r="G164" s="23" t="str">
        <f aca="false">IF(D164="","",IFERROR(INDEX(Config!$B$10:$B$19,MATCH(D164,Config!$A$10:$A$19,0)),""))</f>
        <v/>
      </c>
      <c r="H164" s="24" t="str">
        <f aca="false">IF(A164="","",MONTH(A164))</f>
        <v/>
      </c>
      <c r="I164" s="20"/>
      <c r="J164" s="20"/>
    </row>
    <row r="165" customFormat="false" ht="15" hidden="false" customHeight="false" outlineLevel="0" collapsed="false">
      <c r="A165" s="19"/>
      <c r="B165" s="20"/>
      <c r="C165" s="21"/>
      <c r="D165" s="20"/>
      <c r="E165" s="22"/>
      <c r="F165" s="22"/>
      <c r="G165" s="23" t="str">
        <f aca="false">IF(D165="","",IFERROR(INDEX(Config!$B$10:$B$19,MATCH(D165,Config!$A$10:$A$19,0)),""))</f>
        <v/>
      </c>
      <c r="H165" s="24" t="str">
        <f aca="false">IF(A165="","",MONTH(A165))</f>
        <v/>
      </c>
      <c r="I165" s="20"/>
      <c r="J165" s="20"/>
    </row>
    <row r="166" customFormat="false" ht="15" hidden="false" customHeight="false" outlineLevel="0" collapsed="false">
      <c r="A166" s="19"/>
      <c r="B166" s="20"/>
      <c r="C166" s="21"/>
      <c r="D166" s="20"/>
      <c r="E166" s="22"/>
      <c r="F166" s="22"/>
      <c r="G166" s="23" t="str">
        <f aca="false">IF(D166="","",IFERROR(INDEX(Config!$B$10:$B$19,MATCH(D166,Config!$A$10:$A$19,0)),""))</f>
        <v/>
      </c>
      <c r="H166" s="24" t="str">
        <f aca="false">IF(A166="","",MONTH(A166))</f>
        <v/>
      </c>
      <c r="I166" s="20"/>
      <c r="J166" s="20"/>
    </row>
    <row r="167" customFormat="false" ht="15" hidden="false" customHeight="false" outlineLevel="0" collapsed="false">
      <c r="A167" s="19"/>
      <c r="B167" s="20"/>
      <c r="C167" s="21"/>
      <c r="D167" s="20"/>
      <c r="E167" s="22"/>
      <c r="F167" s="22"/>
      <c r="G167" s="23" t="str">
        <f aca="false">IF(D167="","",IFERROR(INDEX(Config!$B$10:$B$19,MATCH(D167,Config!$A$10:$A$19,0)),""))</f>
        <v/>
      </c>
      <c r="H167" s="24" t="str">
        <f aca="false">IF(A167="","",MONTH(A167))</f>
        <v/>
      </c>
      <c r="I167" s="20"/>
      <c r="J167" s="20"/>
    </row>
    <row r="168" customFormat="false" ht="15" hidden="false" customHeight="false" outlineLevel="0" collapsed="false">
      <c r="A168" s="19"/>
      <c r="B168" s="20"/>
      <c r="C168" s="21"/>
      <c r="D168" s="20"/>
      <c r="E168" s="22"/>
      <c r="F168" s="22"/>
      <c r="G168" s="23" t="str">
        <f aca="false">IF(D168="","",IFERROR(INDEX(Config!$B$10:$B$19,MATCH(D168,Config!$A$10:$A$19,0)),""))</f>
        <v/>
      </c>
      <c r="H168" s="24" t="str">
        <f aca="false">IF(A168="","",MONTH(A168))</f>
        <v/>
      </c>
      <c r="I168" s="20"/>
      <c r="J168" s="20"/>
    </row>
    <row r="169" customFormat="false" ht="15" hidden="false" customHeight="false" outlineLevel="0" collapsed="false">
      <c r="A169" s="19"/>
      <c r="B169" s="20"/>
      <c r="C169" s="21"/>
      <c r="D169" s="20"/>
      <c r="E169" s="22"/>
      <c r="F169" s="22"/>
      <c r="G169" s="23" t="str">
        <f aca="false">IF(D169="","",IFERROR(INDEX(Config!$B$10:$B$19,MATCH(D169,Config!$A$10:$A$19,0)),""))</f>
        <v/>
      </c>
      <c r="H169" s="24" t="str">
        <f aca="false">IF(A169="","",MONTH(A169))</f>
        <v/>
      </c>
      <c r="I169" s="20"/>
      <c r="J169" s="20"/>
    </row>
    <row r="170" customFormat="false" ht="15" hidden="false" customHeight="false" outlineLevel="0" collapsed="false">
      <c r="A170" s="19"/>
      <c r="B170" s="20"/>
      <c r="C170" s="21"/>
      <c r="D170" s="20"/>
      <c r="E170" s="22"/>
      <c r="F170" s="22"/>
      <c r="G170" s="23" t="str">
        <f aca="false">IF(D170="","",IFERROR(INDEX(Config!$B$10:$B$19,MATCH(D170,Config!$A$10:$A$19,0)),""))</f>
        <v/>
      </c>
      <c r="H170" s="24" t="str">
        <f aca="false">IF(A170="","",MONTH(A170))</f>
        <v/>
      </c>
      <c r="I170" s="20"/>
      <c r="J170" s="20"/>
    </row>
    <row r="171" customFormat="false" ht="15" hidden="false" customHeight="false" outlineLevel="0" collapsed="false">
      <c r="A171" s="19"/>
      <c r="B171" s="20"/>
      <c r="C171" s="21"/>
      <c r="D171" s="20"/>
      <c r="E171" s="22"/>
      <c r="F171" s="22"/>
      <c r="G171" s="23" t="str">
        <f aca="false">IF(D171="","",IFERROR(INDEX(Config!$B$10:$B$19,MATCH(D171,Config!$A$10:$A$19,0)),""))</f>
        <v/>
      </c>
      <c r="H171" s="24" t="str">
        <f aca="false">IF(A171="","",MONTH(A171))</f>
        <v/>
      </c>
      <c r="I171" s="20"/>
      <c r="J171" s="20"/>
    </row>
    <row r="172" customFormat="false" ht="15" hidden="false" customHeight="false" outlineLevel="0" collapsed="false">
      <c r="A172" s="19"/>
      <c r="B172" s="20"/>
      <c r="C172" s="21"/>
      <c r="D172" s="20"/>
      <c r="E172" s="22"/>
      <c r="F172" s="22"/>
      <c r="G172" s="23" t="str">
        <f aca="false">IF(D172="","",IFERROR(INDEX(Config!$B$10:$B$19,MATCH(D172,Config!$A$10:$A$19,0)),""))</f>
        <v/>
      </c>
      <c r="H172" s="24" t="str">
        <f aca="false">IF(A172="","",MONTH(A172))</f>
        <v/>
      </c>
      <c r="I172" s="20"/>
      <c r="J172" s="20"/>
    </row>
    <row r="173" customFormat="false" ht="15" hidden="false" customHeight="false" outlineLevel="0" collapsed="false">
      <c r="A173" s="19"/>
      <c r="B173" s="20"/>
      <c r="C173" s="21"/>
      <c r="D173" s="20"/>
      <c r="E173" s="22"/>
      <c r="F173" s="22"/>
      <c r="G173" s="23" t="str">
        <f aca="false">IF(D173="","",IFERROR(INDEX(Config!$B$10:$B$19,MATCH(D173,Config!$A$10:$A$19,0)),""))</f>
        <v/>
      </c>
      <c r="H173" s="24" t="str">
        <f aca="false">IF(A173="","",MONTH(A173))</f>
        <v/>
      </c>
      <c r="I173" s="20"/>
      <c r="J173" s="20"/>
    </row>
    <row r="174" customFormat="false" ht="15" hidden="false" customHeight="false" outlineLevel="0" collapsed="false">
      <c r="A174" s="19"/>
      <c r="B174" s="20"/>
      <c r="C174" s="21"/>
      <c r="D174" s="20"/>
      <c r="E174" s="22"/>
      <c r="F174" s="22"/>
      <c r="G174" s="23" t="str">
        <f aca="false">IF(D174="","",IFERROR(INDEX(Config!$B$10:$B$19,MATCH(D174,Config!$A$10:$A$19,0)),""))</f>
        <v/>
      </c>
      <c r="H174" s="24" t="str">
        <f aca="false">IF(A174="","",MONTH(A174))</f>
        <v/>
      </c>
      <c r="I174" s="20"/>
      <c r="J174" s="20"/>
    </row>
    <row r="175" customFormat="false" ht="15" hidden="false" customHeight="false" outlineLevel="0" collapsed="false">
      <c r="A175" s="19"/>
      <c r="B175" s="20"/>
      <c r="C175" s="21"/>
      <c r="D175" s="20"/>
      <c r="E175" s="22"/>
      <c r="F175" s="22"/>
      <c r="G175" s="23" t="str">
        <f aca="false">IF(D175="","",IFERROR(INDEX(Config!$B$10:$B$19,MATCH(D175,Config!$A$10:$A$19,0)),""))</f>
        <v/>
      </c>
      <c r="H175" s="24" t="str">
        <f aca="false">IF(A175="","",MONTH(A175))</f>
        <v/>
      </c>
      <c r="I175" s="20"/>
      <c r="J175" s="20"/>
    </row>
    <row r="176" customFormat="false" ht="15" hidden="false" customHeight="false" outlineLevel="0" collapsed="false">
      <c r="A176" s="19"/>
      <c r="B176" s="20"/>
      <c r="C176" s="21"/>
      <c r="D176" s="20"/>
      <c r="E176" s="22"/>
      <c r="F176" s="22"/>
      <c r="G176" s="23" t="str">
        <f aca="false">IF(D176="","",IFERROR(INDEX(Config!$B$10:$B$19,MATCH(D176,Config!$A$10:$A$19,0)),""))</f>
        <v/>
      </c>
      <c r="H176" s="24" t="str">
        <f aca="false">IF(A176="","",MONTH(A176))</f>
        <v/>
      </c>
      <c r="I176" s="20"/>
      <c r="J176" s="20"/>
    </row>
    <row r="177" customFormat="false" ht="15" hidden="false" customHeight="false" outlineLevel="0" collapsed="false">
      <c r="A177" s="19"/>
      <c r="B177" s="20"/>
      <c r="C177" s="21"/>
      <c r="D177" s="20"/>
      <c r="E177" s="22"/>
      <c r="F177" s="22"/>
      <c r="G177" s="23" t="str">
        <f aca="false">IF(D177="","",IFERROR(INDEX(Config!$B$10:$B$19,MATCH(D177,Config!$A$10:$A$19,0)),""))</f>
        <v/>
      </c>
      <c r="H177" s="24" t="str">
        <f aca="false">IF(A177="","",MONTH(A177))</f>
        <v/>
      </c>
      <c r="I177" s="20"/>
      <c r="J177" s="20"/>
    </row>
    <row r="178" customFormat="false" ht="15" hidden="false" customHeight="false" outlineLevel="0" collapsed="false">
      <c r="A178" s="19"/>
      <c r="B178" s="20"/>
      <c r="C178" s="21"/>
      <c r="D178" s="20"/>
      <c r="E178" s="22"/>
      <c r="F178" s="22"/>
      <c r="G178" s="23" t="str">
        <f aca="false">IF(D178="","",IFERROR(INDEX(Config!$B$10:$B$19,MATCH(D178,Config!$A$10:$A$19,0)),""))</f>
        <v/>
      </c>
      <c r="H178" s="24" t="str">
        <f aca="false">IF(A178="","",MONTH(A178))</f>
        <v/>
      </c>
      <c r="I178" s="20"/>
      <c r="J178" s="20"/>
    </row>
    <row r="179" customFormat="false" ht="15" hidden="false" customHeight="false" outlineLevel="0" collapsed="false">
      <c r="A179" s="19"/>
      <c r="B179" s="20"/>
      <c r="C179" s="21"/>
      <c r="D179" s="20"/>
      <c r="E179" s="22"/>
      <c r="F179" s="22"/>
      <c r="G179" s="23" t="str">
        <f aca="false">IF(D179="","",IFERROR(INDEX(Config!$B$10:$B$19,MATCH(D179,Config!$A$10:$A$19,0)),""))</f>
        <v/>
      </c>
      <c r="H179" s="24" t="str">
        <f aca="false">IF(A179="","",MONTH(A179))</f>
        <v/>
      </c>
      <c r="I179" s="20"/>
      <c r="J179" s="20"/>
    </row>
    <row r="180" customFormat="false" ht="15" hidden="false" customHeight="false" outlineLevel="0" collapsed="false">
      <c r="A180" s="19"/>
      <c r="B180" s="20"/>
      <c r="C180" s="21"/>
      <c r="D180" s="20"/>
      <c r="E180" s="22"/>
      <c r="F180" s="22"/>
      <c r="G180" s="23" t="str">
        <f aca="false">IF(D180="","",IFERROR(INDEX(Config!$B$10:$B$19,MATCH(D180,Config!$A$10:$A$19,0)),""))</f>
        <v/>
      </c>
      <c r="H180" s="24" t="str">
        <f aca="false">IF(A180="","",MONTH(A180))</f>
        <v/>
      </c>
      <c r="I180" s="20"/>
      <c r="J180" s="20"/>
    </row>
    <row r="181" customFormat="false" ht="15" hidden="false" customHeight="false" outlineLevel="0" collapsed="false">
      <c r="A181" s="19"/>
      <c r="B181" s="20"/>
      <c r="C181" s="21"/>
      <c r="D181" s="20"/>
      <c r="E181" s="22"/>
      <c r="F181" s="22"/>
      <c r="G181" s="23" t="str">
        <f aca="false">IF(D181="","",IFERROR(INDEX(Config!$B$10:$B$19,MATCH(D181,Config!$A$10:$A$19,0)),""))</f>
        <v/>
      </c>
      <c r="H181" s="24" t="str">
        <f aca="false">IF(A181="","",MONTH(A181))</f>
        <v/>
      </c>
      <c r="I181" s="20"/>
      <c r="J181" s="20"/>
    </row>
    <row r="182" customFormat="false" ht="15" hidden="false" customHeight="false" outlineLevel="0" collapsed="false">
      <c r="A182" s="19"/>
      <c r="B182" s="20"/>
      <c r="C182" s="21"/>
      <c r="D182" s="20"/>
      <c r="E182" s="22"/>
      <c r="F182" s="22"/>
      <c r="G182" s="23" t="str">
        <f aca="false">IF(D182="","",IFERROR(INDEX(Config!$B$10:$B$19,MATCH(D182,Config!$A$10:$A$19,0)),""))</f>
        <v/>
      </c>
      <c r="H182" s="24" t="str">
        <f aca="false">IF(A182="","",MONTH(A182))</f>
        <v/>
      </c>
      <c r="I182" s="20"/>
      <c r="J182" s="20"/>
    </row>
    <row r="183" customFormat="false" ht="15" hidden="false" customHeight="false" outlineLevel="0" collapsed="false">
      <c r="A183" s="19"/>
      <c r="B183" s="20"/>
      <c r="C183" s="21"/>
      <c r="D183" s="20"/>
      <c r="E183" s="22"/>
      <c r="F183" s="22"/>
      <c r="G183" s="23" t="str">
        <f aca="false">IF(D183="","",IFERROR(INDEX(Config!$B$10:$B$19,MATCH(D183,Config!$A$10:$A$19,0)),""))</f>
        <v/>
      </c>
      <c r="H183" s="24" t="str">
        <f aca="false">IF(A183="","",MONTH(A183))</f>
        <v/>
      </c>
      <c r="I183" s="20"/>
      <c r="J183" s="20"/>
    </row>
    <row r="184" customFormat="false" ht="15" hidden="false" customHeight="false" outlineLevel="0" collapsed="false">
      <c r="A184" s="19"/>
      <c r="B184" s="20"/>
      <c r="C184" s="21"/>
      <c r="D184" s="20"/>
      <c r="E184" s="22"/>
      <c r="F184" s="22"/>
      <c r="G184" s="23" t="str">
        <f aca="false">IF(D184="","",IFERROR(INDEX(Config!$B$10:$B$19,MATCH(D184,Config!$A$10:$A$19,0)),""))</f>
        <v/>
      </c>
      <c r="H184" s="24" t="str">
        <f aca="false">IF(A184="","",MONTH(A184))</f>
        <v/>
      </c>
      <c r="I184" s="20"/>
      <c r="J184" s="20"/>
    </row>
    <row r="185" customFormat="false" ht="15" hidden="false" customHeight="false" outlineLevel="0" collapsed="false">
      <c r="A185" s="19"/>
      <c r="B185" s="20"/>
      <c r="C185" s="21"/>
      <c r="D185" s="20"/>
      <c r="E185" s="22"/>
      <c r="F185" s="22"/>
      <c r="G185" s="23" t="str">
        <f aca="false">IF(D185="","",IFERROR(INDEX(Config!$B$10:$B$19,MATCH(D185,Config!$A$10:$A$19,0)),""))</f>
        <v/>
      </c>
      <c r="H185" s="24" t="str">
        <f aca="false">IF(A185="","",MONTH(A185))</f>
        <v/>
      </c>
      <c r="I185" s="20"/>
      <c r="J185" s="20"/>
    </row>
    <row r="186" customFormat="false" ht="15" hidden="false" customHeight="false" outlineLevel="0" collapsed="false">
      <c r="A186" s="19"/>
      <c r="B186" s="20"/>
      <c r="C186" s="21"/>
      <c r="D186" s="20"/>
      <c r="E186" s="22"/>
      <c r="F186" s="22"/>
      <c r="G186" s="23" t="str">
        <f aca="false">IF(D186="","",IFERROR(INDEX(Config!$B$10:$B$19,MATCH(D186,Config!$A$10:$A$19,0)),""))</f>
        <v/>
      </c>
      <c r="H186" s="24" t="str">
        <f aca="false">IF(A186="","",MONTH(A186))</f>
        <v/>
      </c>
      <c r="I186" s="20"/>
      <c r="J186" s="20"/>
    </row>
    <row r="187" customFormat="false" ht="15" hidden="false" customHeight="false" outlineLevel="0" collapsed="false">
      <c r="A187" s="19"/>
      <c r="B187" s="20"/>
      <c r="C187" s="21"/>
      <c r="D187" s="20"/>
      <c r="E187" s="22"/>
      <c r="F187" s="22"/>
      <c r="G187" s="23" t="str">
        <f aca="false">IF(D187="","",IFERROR(INDEX(Config!$B$10:$B$19,MATCH(D187,Config!$A$10:$A$19,0)),""))</f>
        <v/>
      </c>
      <c r="H187" s="24" t="str">
        <f aca="false">IF(A187="","",MONTH(A187))</f>
        <v/>
      </c>
      <c r="I187" s="20"/>
      <c r="J187" s="20"/>
    </row>
    <row r="188" customFormat="false" ht="15" hidden="false" customHeight="false" outlineLevel="0" collapsed="false">
      <c r="A188" s="19"/>
      <c r="B188" s="20"/>
      <c r="C188" s="21"/>
      <c r="D188" s="20"/>
      <c r="E188" s="22"/>
      <c r="F188" s="22"/>
      <c r="G188" s="23" t="str">
        <f aca="false">IF(D188="","",IFERROR(INDEX(Config!$B$10:$B$19,MATCH(D188,Config!$A$10:$A$19,0)),""))</f>
        <v/>
      </c>
      <c r="H188" s="24" t="str">
        <f aca="false">IF(A188="","",MONTH(A188))</f>
        <v/>
      </c>
      <c r="I188" s="20"/>
      <c r="J188" s="20"/>
    </row>
    <row r="189" customFormat="false" ht="15" hidden="false" customHeight="false" outlineLevel="0" collapsed="false">
      <c r="A189" s="19"/>
      <c r="B189" s="20"/>
      <c r="C189" s="21"/>
      <c r="D189" s="20"/>
      <c r="E189" s="22"/>
      <c r="F189" s="22"/>
      <c r="G189" s="23" t="str">
        <f aca="false">IF(D189="","",IFERROR(INDEX(Config!$B$10:$B$19,MATCH(D189,Config!$A$10:$A$19,0)),""))</f>
        <v/>
      </c>
      <c r="H189" s="24" t="str">
        <f aca="false">IF(A189="","",MONTH(A189))</f>
        <v/>
      </c>
      <c r="I189" s="20"/>
      <c r="J189" s="20"/>
    </row>
    <row r="190" customFormat="false" ht="15" hidden="false" customHeight="false" outlineLevel="0" collapsed="false">
      <c r="A190" s="19"/>
      <c r="B190" s="20"/>
      <c r="C190" s="21"/>
      <c r="D190" s="20"/>
      <c r="E190" s="22"/>
      <c r="F190" s="22"/>
      <c r="G190" s="23" t="str">
        <f aca="false">IF(D190="","",IFERROR(INDEX(Config!$B$10:$B$19,MATCH(D190,Config!$A$10:$A$19,0)),""))</f>
        <v/>
      </c>
      <c r="H190" s="24" t="str">
        <f aca="false">IF(A190="","",MONTH(A190))</f>
        <v/>
      </c>
      <c r="I190" s="20"/>
      <c r="J190" s="20"/>
    </row>
    <row r="191" customFormat="false" ht="15" hidden="false" customHeight="false" outlineLevel="0" collapsed="false">
      <c r="A191" s="19"/>
      <c r="B191" s="20"/>
      <c r="C191" s="21"/>
      <c r="D191" s="20"/>
      <c r="E191" s="22"/>
      <c r="F191" s="22"/>
      <c r="G191" s="23" t="str">
        <f aca="false">IF(D191="","",IFERROR(INDEX(Config!$B$10:$B$19,MATCH(D191,Config!$A$10:$A$19,0)),""))</f>
        <v/>
      </c>
      <c r="H191" s="24" t="str">
        <f aca="false">IF(A191="","",MONTH(A191))</f>
        <v/>
      </c>
      <c r="I191" s="20"/>
      <c r="J191" s="20"/>
    </row>
    <row r="192" customFormat="false" ht="15" hidden="false" customHeight="false" outlineLevel="0" collapsed="false">
      <c r="A192" s="19"/>
      <c r="B192" s="20"/>
      <c r="C192" s="21"/>
      <c r="D192" s="20"/>
      <c r="E192" s="22"/>
      <c r="F192" s="22"/>
      <c r="G192" s="23" t="str">
        <f aca="false">IF(D192="","",IFERROR(INDEX(Config!$B$10:$B$19,MATCH(D192,Config!$A$10:$A$19,0)),""))</f>
        <v/>
      </c>
      <c r="H192" s="24" t="str">
        <f aca="false">IF(A192="","",MONTH(A192))</f>
        <v/>
      </c>
      <c r="I192" s="20"/>
      <c r="J192" s="20"/>
    </row>
    <row r="193" customFormat="false" ht="15" hidden="false" customHeight="false" outlineLevel="0" collapsed="false">
      <c r="A193" s="19"/>
      <c r="B193" s="20"/>
      <c r="C193" s="21"/>
      <c r="D193" s="20"/>
      <c r="E193" s="22"/>
      <c r="F193" s="22"/>
      <c r="G193" s="23" t="str">
        <f aca="false">IF(D193="","",IFERROR(INDEX(Config!$B$10:$B$19,MATCH(D193,Config!$A$10:$A$19,0)),""))</f>
        <v/>
      </c>
      <c r="H193" s="24" t="str">
        <f aca="false">IF(A193="","",MONTH(A193))</f>
        <v/>
      </c>
      <c r="I193" s="20"/>
      <c r="J193" s="20"/>
    </row>
    <row r="194" customFormat="false" ht="15" hidden="false" customHeight="false" outlineLevel="0" collapsed="false">
      <c r="A194" s="19"/>
      <c r="B194" s="20"/>
      <c r="C194" s="21"/>
      <c r="D194" s="20"/>
      <c r="E194" s="22"/>
      <c r="F194" s="22"/>
      <c r="G194" s="23" t="str">
        <f aca="false">IF(D194="","",IFERROR(INDEX(Config!$B$10:$B$19,MATCH(D194,Config!$A$10:$A$19,0)),""))</f>
        <v/>
      </c>
      <c r="H194" s="24" t="str">
        <f aca="false">IF(A194="","",MONTH(A194))</f>
        <v/>
      </c>
      <c r="I194" s="20"/>
      <c r="J194" s="20"/>
    </row>
    <row r="195" customFormat="false" ht="15" hidden="false" customHeight="false" outlineLevel="0" collapsed="false">
      <c r="A195" s="19"/>
      <c r="B195" s="20"/>
      <c r="C195" s="21"/>
      <c r="D195" s="20"/>
      <c r="E195" s="22"/>
      <c r="F195" s="22"/>
      <c r="G195" s="23" t="str">
        <f aca="false">IF(D195="","",IFERROR(INDEX(Config!$B$10:$B$19,MATCH(D195,Config!$A$10:$A$19,0)),""))</f>
        <v/>
      </c>
      <c r="H195" s="24" t="str">
        <f aca="false">IF(A195="","",MONTH(A195))</f>
        <v/>
      </c>
      <c r="I195" s="20"/>
      <c r="J195" s="20"/>
    </row>
    <row r="196" customFormat="false" ht="15" hidden="false" customHeight="false" outlineLevel="0" collapsed="false">
      <c r="A196" s="19"/>
      <c r="B196" s="20"/>
      <c r="C196" s="21"/>
      <c r="D196" s="20"/>
      <c r="E196" s="22"/>
      <c r="F196" s="22"/>
      <c r="G196" s="23" t="str">
        <f aca="false">IF(D196="","",IFERROR(INDEX(Config!$B$10:$B$19,MATCH(D196,Config!$A$10:$A$19,0)),""))</f>
        <v/>
      </c>
      <c r="H196" s="24" t="str">
        <f aca="false">IF(A196="","",MONTH(A196))</f>
        <v/>
      </c>
      <c r="I196" s="20"/>
      <c r="J196" s="20"/>
    </row>
    <row r="197" customFormat="false" ht="15" hidden="false" customHeight="false" outlineLevel="0" collapsed="false">
      <c r="A197" s="19"/>
      <c r="B197" s="20"/>
      <c r="C197" s="21"/>
      <c r="D197" s="20"/>
      <c r="E197" s="22"/>
      <c r="F197" s="22"/>
      <c r="G197" s="23" t="str">
        <f aca="false">IF(D197="","",IFERROR(INDEX(Config!$B$10:$B$19,MATCH(D197,Config!$A$10:$A$19,0)),""))</f>
        <v/>
      </c>
      <c r="H197" s="24" t="str">
        <f aca="false">IF(A197="","",MONTH(A197))</f>
        <v/>
      </c>
      <c r="I197" s="20"/>
      <c r="J197" s="20"/>
    </row>
    <row r="198" customFormat="false" ht="15" hidden="false" customHeight="false" outlineLevel="0" collapsed="false">
      <c r="A198" s="19"/>
      <c r="B198" s="20"/>
      <c r="C198" s="21"/>
      <c r="D198" s="20"/>
      <c r="E198" s="22"/>
      <c r="F198" s="22"/>
      <c r="G198" s="23" t="str">
        <f aca="false">IF(D198="","",IFERROR(INDEX(Config!$B$10:$B$19,MATCH(D198,Config!$A$10:$A$19,0)),""))</f>
        <v/>
      </c>
      <c r="H198" s="24" t="str">
        <f aca="false">IF(A198="","",MONTH(A198))</f>
        <v/>
      </c>
      <c r="I198" s="20"/>
      <c r="J198" s="20"/>
    </row>
    <row r="199" customFormat="false" ht="15" hidden="false" customHeight="false" outlineLevel="0" collapsed="false">
      <c r="A199" s="19"/>
      <c r="B199" s="20"/>
      <c r="C199" s="21"/>
      <c r="D199" s="20"/>
      <c r="E199" s="22"/>
      <c r="F199" s="22"/>
      <c r="G199" s="23" t="str">
        <f aca="false">IF(D199="","",IFERROR(INDEX(Config!$B$10:$B$19,MATCH(D199,Config!$A$10:$A$19,0)),""))</f>
        <v/>
      </c>
      <c r="H199" s="24" t="str">
        <f aca="false">IF(A199="","",MONTH(A199))</f>
        <v/>
      </c>
      <c r="I199" s="20"/>
      <c r="J199" s="20"/>
    </row>
    <row r="200" customFormat="false" ht="15" hidden="false" customHeight="false" outlineLevel="0" collapsed="false">
      <c r="A200" s="19"/>
      <c r="B200" s="20"/>
      <c r="C200" s="21"/>
      <c r="D200" s="20"/>
      <c r="E200" s="22"/>
      <c r="F200" s="22"/>
      <c r="G200" s="23" t="str">
        <f aca="false">IF(D200="","",IFERROR(INDEX(Config!$B$10:$B$19,MATCH(D200,Config!$A$10:$A$19,0)),""))</f>
        <v/>
      </c>
      <c r="H200" s="24" t="str">
        <f aca="false">IF(A200="","",MONTH(A200))</f>
        <v/>
      </c>
      <c r="I200" s="20"/>
      <c r="J200" s="20"/>
    </row>
    <row r="201" customFormat="false" ht="15" hidden="false" customHeight="false" outlineLevel="0" collapsed="false">
      <c r="A201" s="19"/>
      <c r="B201" s="20"/>
      <c r="C201" s="21"/>
      <c r="D201" s="20"/>
      <c r="E201" s="22"/>
      <c r="F201" s="22"/>
      <c r="G201" s="23" t="str">
        <f aca="false">IF(D201="","",IFERROR(INDEX(Config!$B$10:$B$19,MATCH(D201,Config!$A$10:$A$19,0)),""))</f>
        <v/>
      </c>
      <c r="H201" s="24" t="str">
        <f aca="false">IF(A201="","",MONTH(A201))</f>
        <v/>
      </c>
      <c r="I201" s="20"/>
      <c r="J201" s="20"/>
    </row>
    <row r="202" customFormat="false" ht="15" hidden="false" customHeight="false" outlineLevel="0" collapsed="false">
      <c r="A202" s="19"/>
      <c r="B202" s="20"/>
      <c r="C202" s="21"/>
      <c r="D202" s="20"/>
      <c r="E202" s="22"/>
      <c r="F202" s="22"/>
      <c r="G202" s="23" t="str">
        <f aca="false">IF(D202="","",IFERROR(INDEX(Config!$B$10:$B$19,MATCH(D202,Config!$A$10:$A$19,0)),""))</f>
        <v/>
      </c>
      <c r="H202" s="24" t="str">
        <f aca="false">IF(A202="","",MONTH(A202))</f>
        <v/>
      </c>
      <c r="I202" s="20"/>
      <c r="J202" s="20"/>
    </row>
    <row r="203" customFormat="false" ht="15" hidden="false" customHeight="false" outlineLevel="0" collapsed="false">
      <c r="A203" s="19"/>
      <c r="B203" s="20"/>
      <c r="C203" s="21"/>
      <c r="D203" s="20"/>
      <c r="E203" s="22"/>
      <c r="F203" s="22"/>
      <c r="G203" s="23" t="str">
        <f aca="false">IF(D203="","",IFERROR(INDEX(Config!$B$10:$B$19,MATCH(D203,Config!$A$10:$A$19,0)),""))</f>
        <v/>
      </c>
      <c r="H203" s="24" t="str">
        <f aca="false">IF(A203="","",MONTH(A203))</f>
        <v/>
      </c>
      <c r="I203" s="20"/>
      <c r="J203" s="20"/>
    </row>
    <row r="204" customFormat="false" ht="15" hidden="false" customHeight="false" outlineLevel="0" collapsed="false">
      <c r="A204" s="19"/>
      <c r="B204" s="20"/>
      <c r="C204" s="21"/>
      <c r="D204" s="20"/>
      <c r="E204" s="22"/>
      <c r="F204" s="22"/>
      <c r="G204" s="23" t="str">
        <f aca="false">IF(D204="","",IFERROR(INDEX(Config!$B$10:$B$19,MATCH(D204,Config!$A$10:$A$19,0)),""))</f>
        <v/>
      </c>
      <c r="H204" s="24" t="str">
        <f aca="false">IF(A204="","",MONTH(A204))</f>
        <v/>
      </c>
      <c r="I204" s="20"/>
      <c r="J204" s="20"/>
    </row>
  </sheetData>
  <autoFilter ref="A4:J204"/>
  <conditionalFormatting sqref="A5:J204">
    <cfRule type="expression" priority="2" aboveAverage="0" equalAverage="0" bottom="0" percent="0" rank="0" text="" dxfId="7">
      <formula>AND($E5&lt;&gt;"",OR($B5="",$C5="",$D5=""))</formula>
    </cfRule>
  </conditionalFormatting>
  <dataValidations count="4">
    <dataValidation allowBlank="true" error="Informe uma data dentro do ano-calendário definido em Config (dd/mm/aaaa)." errorStyle="stop" errorTitle="Data fora do ano-calendário" operator="between" showDropDown="false" showErrorMessage="true" showInputMessage="false" sqref="A5:A204" type="date">
      <formula1>DATE(AnoBase,1,1)</formula1>
      <formula2>DATE(AnoBase,12,31)</formula2>
    </dataValidation>
    <dataValidation allowBlank="true" error="Digite só números: 11 dígitos (CPF) ou 14 dígitos (CNPJ)." errorStyle="stop" errorTitle="CPF/CNPJ inválido" operator="between" prompt="Somente números (11 ou 14 dígitos)." promptTitle="CPF/CNPJ" showDropDown="false" showErrorMessage="true" showInputMessage="true" sqref="C5:C204" type="custom">
      <formula1>OR(LEN(C5)=11,LEN(C5)=14)</formula1>
      <formula2>0</formula2>
    </dataValidation>
    <dataValidation allowBlank="true" error="Escolha um tipo da lista (editável na aba Config)." errorStyle="stop" errorTitle="Valor inválido" operator="between" prompt="Escolha um item da lista." promptTitle="Selecione" showDropDown="false" showErrorMessage="true" showInputMessage="true" sqref="D5:D204" type="list">
      <formula1>ListaTipos</formula1>
      <formula2>0</formula2>
    </dataValidation>
    <dataValidation allowBlank="true" error="Informe um número maior ou igual a zero." errorStyle="stop" errorTitle="Valor inválido" operator="greaterThanOrEqual" showDropDown="false" showErrorMessage="true" showInputMessage="false" sqref="E5:F2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6" min="5" style="0" width="17"/>
    <col collapsed="false" customWidth="true" hidden="false" outlineLevel="0" max="7" min="7" style="0" width="19"/>
    <col collapsed="false" customWidth="true" hidden="false" outlineLevel="0" max="9" min="8" style="0" width="30"/>
  </cols>
  <sheetData>
    <row r="1" customFormat="false" ht="15" hidden="false" customHeight="false" outlineLevel="0" collapsed="false">
      <c r="A1" s="9" t="str">
        <f aca="false">HYPERLINK("#'Menu'!A1","◄ Voltar ao Menu")</f>
        <v>◄ Voltar ao Menu</v>
      </c>
    </row>
    <row r="2" customFormat="false" ht="17.35" hidden="false" customHeight="false" outlineLevel="0" collapsed="false">
      <c r="A2" s="10" t="s">
        <v>71</v>
      </c>
    </row>
    <row r="3" customFormat="false" ht="15" hidden="false" customHeight="false" outlineLevel="0" collapsed="false">
      <c r="A3" s="8" t="s">
        <v>72</v>
      </c>
    </row>
    <row r="4" customFormat="false" ht="31.5" hidden="false" customHeight="true" outlineLevel="0" collapsed="false">
      <c r="A4" s="18" t="s">
        <v>57</v>
      </c>
      <c r="B4" s="18" t="s">
        <v>73</v>
      </c>
      <c r="C4" s="18" t="s">
        <v>59</v>
      </c>
      <c r="D4" s="18" t="s">
        <v>74</v>
      </c>
      <c r="E4" s="18" t="s">
        <v>75</v>
      </c>
      <c r="F4" s="18" t="s">
        <v>76</v>
      </c>
      <c r="G4" s="18" t="s">
        <v>77</v>
      </c>
      <c r="H4" s="18" t="s">
        <v>65</v>
      </c>
      <c r="I4" s="18" t="s">
        <v>66</v>
      </c>
    </row>
    <row r="5" customFormat="false" ht="15" hidden="false" customHeight="false" outlineLevel="0" collapsed="false">
      <c r="A5" s="19" t="n">
        <v>45818</v>
      </c>
      <c r="B5" s="20" t="s">
        <v>78</v>
      </c>
      <c r="C5" s="21" t="s">
        <v>79</v>
      </c>
      <c r="D5" s="20" t="s">
        <v>80</v>
      </c>
      <c r="E5" s="22" t="n">
        <v>420</v>
      </c>
      <c r="F5" s="22" t="n">
        <v>0</v>
      </c>
      <c r="G5" s="25" t="n">
        <f aca="false">IF(E5="","",MAX(0,E5-N(F5)))</f>
        <v>420</v>
      </c>
      <c r="H5" s="20"/>
      <c r="I5" s="20" t="s">
        <v>70</v>
      </c>
    </row>
    <row r="6" customFormat="false" ht="15" hidden="false" customHeight="false" outlineLevel="0" collapsed="false">
      <c r="A6" s="19"/>
      <c r="B6" s="20"/>
      <c r="C6" s="21"/>
      <c r="D6" s="20"/>
      <c r="E6" s="22"/>
      <c r="F6" s="22"/>
      <c r="G6" s="25" t="str">
        <f aca="false">IF(E6="","",MAX(0,E6-N(F6)))</f>
        <v/>
      </c>
      <c r="H6" s="20"/>
      <c r="I6" s="20"/>
    </row>
    <row r="7" customFormat="false" ht="15" hidden="false" customHeight="false" outlineLevel="0" collapsed="false">
      <c r="A7" s="19"/>
      <c r="B7" s="20"/>
      <c r="C7" s="21"/>
      <c r="D7" s="20"/>
      <c r="E7" s="22"/>
      <c r="F7" s="22"/>
      <c r="G7" s="25" t="str">
        <f aca="false">IF(E7="","",MAX(0,E7-N(F7)))</f>
        <v/>
      </c>
      <c r="H7" s="20"/>
      <c r="I7" s="20"/>
    </row>
    <row r="8" customFormat="false" ht="15" hidden="false" customHeight="false" outlineLevel="0" collapsed="false">
      <c r="A8" s="19"/>
      <c r="B8" s="20"/>
      <c r="C8" s="21"/>
      <c r="D8" s="20"/>
      <c r="E8" s="22"/>
      <c r="F8" s="22"/>
      <c r="G8" s="25" t="str">
        <f aca="false">IF(E8="","",MAX(0,E8-N(F8)))</f>
        <v/>
      </c>
      <c r="H8" s="20"/>
      <c r="I8" s="20"/>
    </row>
    <row r="9" customFormat="false" ht="15" hidden="false" customHeight="false" outlineLevel="0" collapsed="false">
      <c r="A9" s="19"/>
      <c r="B9" s="20"/>
      <c r="C9" s="21"/>
      <c r="D9" s="20"/>
      <c r="E9" s="22"/>
      <c r="F9" s="22"/>
      <c r="G9" s="25" t="str">
        <f aca="false">IF(E9="","",MAX(0,E9-N(F9)))</f>
        <v/>
      </c>
      <c r="H9" s="20"/>
      <c r="I9" s="20"/>
    </row>
    <row r="10" customFormat="false" ht="15" hidden="false" customHeight="false" outlineLevel="0" collapsed="false">
      <c r="A10" s="19"/>
      <c r="B10" s="20"/>
      <c r="C10" s="21"/>
      <c r="D10" s="20"/>
      <c r="E10" s="22"/>
      <c r="F10" s="22"/>
      <c r="G10" s="25" t="str">
        <f aca="false">IF(E10="","",MAX(0,E10-N(F10)))</f>
        <v/>
      </c>
      <c r="H10" s="20"/>
      <c r="I10" s="20"/>
    </row>
    <row r="11" customFormat="false" ht="15" hidden="false" customHeight="false" outlineLevel="0" collapsed="false">
      <c r="A11" s="19"/>
      <c r="B11" s="20"/>
      <c r="C11" s="21"/>
      <c r="D11" s="20"/>
      <c r="E11" s="22"/>
      <c r="F11" s="22"/>
      <c r="G11" s="25" t="str">
        <f aca="false">IF(E11="","",MAX(0,E11-N(F11)))</f>
        <v/>
      </c>
      <c r="H11" s="20"/>
      <c r="I11" s="20"/>
    </row>
    <row r="12" customFormat="false" ht="15" hidden="false" customHeight="false" outlineLevel="0" collapsed="false">
      <c r="A12" s="19"/>
      <c r="B12" s="20"/>
      <c r="C12" s="21"/>
      <c r="D12" s="20"/>
      <c r="E12" s="22"/>
      <c r="F12" s="22"/>
      <c r="G12" s="25" t="str">
        <f aca="false">IF(E12="","",MAX(0,E12-N(F12)))</f>
        <v/>
      </c>
      <c r="H12" s="20"/>
      <c r="I12" s="20"/>
    </row>
    <row r="13" customFormat="false" ht="15" hidden="false" customHeight="false" outlineLevel="0" collapsed="false">
      <c r="A13" s="19"/>
      <c r="B13" s="20"/>
      <c r="C13" s="21"/>
      <c r="D13" s="20"/>
      <c r="E13" s="22"/>
      <c r="F13" s="22"/>
      <c r="G13" s="25" t="str">
        <f aca="false">IF(E13="","",MAX(0,E13-N(F13)))</f>
        <v/>
      </c>
      <c r="H13" s="20"/>
      <c r="I13" s="20"/>
    </row>
    <row r="14" customFormat="false" ht="15" hidden="false" customHeight="false" outlineLevel="0" collapsed="false">
      <c r="A14" s="19"/>
      <c r="B14" s="20"/>
      <c r="C14" s="21"/>
      <c r="D14" s="20"/>
      <c r="E14" s="22"/>
      <c r="F14" s="22"/>
      <c r="G14" s="25" t="str">
        <f aca="false">IF(E14="","",MAX(0,E14-N(F14)))</f>
        <v/>
      </c>
      <c r="H14" s="20"/>
      <c r="I14" s="20"/>
    </row>
    <row r="15" customFormat="false" ht="15" hidden="false" customHeight="false" outlineLevel="0" collapsed="false">
      <c r="A15" s="19"/>
      <c r="B15" s="20"/>
      <c r="C15" s="21"/>
      <c r="D15" s="20"/>
      <c r="E15" s="22"/>
      <c r="F15" s="22"/>
      <c r="G15" s="25" t="str">
        <f aca="false">IF(E15="","",MAX(0,E15-N(F15)))</f>
        <v/>
      </c>
      <c r="H15" s="20"/>
      <c r="I15" s="20"/>
    </row>
    <row r="16" customFormat="false" ht="15" hidden="false" customHeight="false" outlineLevel="0" collapsed="false">
      <c r="A16" s="19"/>
      <c r="B16" s="20"/>
      <c r="C16" s="21"/>
      <c r="D16" s="20"/>
      <c r="E16" s="22"/>
      <c r="F16" s="22"/>
      <c r="G16" s="25" t="str">
        <f aca="false">IF(E16="","",MAX(0,E16-N(F16)))</f>
        <v/>
      </c>
      <c r="H16" s="20"/>
      <c r="I16" s="20"/>
    </row>
    <row r="17" customFormat="false" ht="15" hidden="false" customHeight="false" outlineLevel="0" collapsed="false">
      <c r="A17" s="19"/>
      <c r="B17" s="20"/>
      <c r="C17" s="21"/>
      <c r="D17" s="20"/>
      <c r="E17" s="22"/>
      <c r="F17" s="22"/>
      <c r="G17" s="25" t="str">
        <f aca="false">IF(E17="","",MAX(0,E17-N(F17)))</f>
        <v/>
      </c>
      <c r="H17" s="20"/>
      <c r="I17" s="20"/>
    </row>
    <row r="18" customFormat="false" ht="15" hidden="false" customHeight="false" outlineLevel="0" collapsed="false">
      <c r="A18" s="19"/>
      <c r="B18" s="20"/>
      <c r="C18" s="21"/>
      <c r="D18" s="20"/>
      <c r="E18" s="22"/>
      <c r="F18" s="22"/>
      <c r="G18" s="25" t="str">
        <f aca="false">IF(E18="","",MAX(0,E18-N(F18)))</f>
        <v/>
      </c>
      <c r="H18" s="20"/>
      <c r="I18" s="20"/>
    </row>
    <row r="19" customFormat="false" ht="15" hidden="false" customHeight="false" outlineLevel="0" collapsed="false">
      <c r="A19" s="19"/>
      <c r="B19" s="20"/>
      <c r="C19" s="21"/>
      <c r="D19" s="20"/>
      <c r="E19" s="22"/>
      <c r="F19" s="22"/>
      <c r="G19" s="25" t="str">
        <f aca="false">IF(E19="","",MAX(0,E19-N(F19)))</f>
        <v/>
      </c>
      <c r="H19" s="20"/>
      <c r="I19" s="20"/>
    </row>
    <row r="20" customFormat="false" ht="15" hidden="false" customHeight="false" outlineLevel="0" collapsed="false">
      <c r="A20" s="19"/>
      <c r="B20" s="20"/>
      <c r="C20" s="21"/>
      <c r="D20" s="20"/>
      <c r="E20" s="22"/>
      <c r="F20" s="22"/>
      <c r="G20" s="25" t="str">
        <f aca="false">IF(E20="","",MAX(0,E20-N(F20)))</f>
        <v/>
      </c>
      <c r="H20" s="20"/>
      <c r="I20" s="20"/>
    </row>
    <row r="21" customFormat="false" ht="15" hidden="false" customHeight="false" outlineLevel="0" collapsed="false">
      <c r="A21" s="19"/>
      <c r="B21" s="20"/>
      <c r="C21" s="21"/>
      <c r="D21" s="20"/>
      <c r="E21" s="22"/>
      <c r="F21" s="22"/>
      <c r="G21" s="25" t="str">
        <f aca="false">IF(E21="","",MAX(0,E21-N(F21)))</f>
        <v/>
      </c>
      <c r="H21" s="20"/>
      <c r="I21" s="20"/>
    </row>
    <row r="22" customFormat="false" ht="15" hidden="false" customHeight="false" outlineLevel="0" collapsed="false">
      <c r="A22" s="19"/>
      <c r="B22" s="20"/>
      <c r="C22" s="21"/>
      <c r="D22" s="20"/>
      <c r="E22" s="22"/>
      <c r="F22" s="22"/>
      <c r="G22" s="25" t="str">
        <f aca="false">IF(E22="","",MAX(0,E22-N(F22)))</f>
        <v/>
      </c>
      <c r="H22" s="20"/>
      <c r="I22" s="20"/>
    </row>
    <row r="23" customFormat="false" ht="15" hidden="false" customHeight="false" outlineLevel="0" collapsed="false">
      <c r="A23" s="19"/>
      <c r="B23" s="20"/>
      <c r="C23" s="21"/>
      <c r="D23" s="20"/>
      <c r="E23" s="22"/>
      <c r="F23" s="22"/>
      <c r="G23" s="25" t="str">
        <f aca="false">IF(E23="","",MAX(0,E23-N(F23)))</f>
        <v/>
      </c>
      <c r="H23" s="20"/>
      <c r="I23" s="20"/>
    </row>
    <row r="24" customFormat="false" ht="15" hidden="false" customHeight="false" outlineLevel="0" collapsed="false">
      <c r="A24" s="19"/>
      <c r="B24" s="20"/>
      <c r="C24" s="21"/>
      <c r="D24" s="20"/>
      <c r="E24" s="22"/>
      <c r="F24" s="22"/>
      <c r="G24" s="25" t="str">
        <f aca="false">IF(E24="","",MAX(0,E24-N(F24)))</f>
        <v/>
      </c>
      <c r="H24" s="20"/>
      <c r="I24" s="20"/>
    </row>
    <row r="25" customFormat="false" ht="15" hidden="false" customHeight="false" outlineLevel="0" collapsed="false">
      <c r="A25" s="19"/>
      <c r="B25" s="20"/>
      <c r="C25" s="21"/>
      <c r="D25" s="20"/>
      <c r="E25" s="22"/>
      <c r="F25" s="22"/>
      <c r="G25" s="25" t="str">
        <f aca="false">IF(E25="","",MAX(0,E25-N(F25)))</f>
        <v/>
      </c>
      <c r="H25" s="20"/>
      <c r="I25" s="20"/>
    </row>
    <row r="26" customFormat="false" ht="15" hidden="false" customHeight="false" outlineLevel="0" collapsed="false">
      <c r="A26" s="19"/>
      <c r="B26" s="20"/>
      <c r="C26" s="21"/>
      <c r="D26" s="20"/>
      <c r="E26" s="22"/>
      <c r="F26" s="22"/>
      <c r="G26" s="25" t="str">
        <f aca="false">IF(E26="","",MAX(0,E26-N(F26)))</f>
        <v/>
      </c>
      <c r="H26" s="20"/>
      <c r="I26" s="20"/>
    </row>
    <row r="27" customFormat="false" ht="15" hidden="false" customHeight="false" outlineLevel="0" collapsed="false">
      <c r="A27" s="19"/>
      <c r="B27" s="20"/>
      <c r="C27" s="21"/>
      <c r="D27" s="20"/>
      <c r="E27" s="22"/>
      <c r="F27" s="22"/>
      <c r="G27" s="25" t="str">
        <f aca="false">IF(E27="","",MAX(0,E27-N(F27)))</f>
        <v/>
      </c>
      <c r="H27" s="20"/>
      <c r="I27" s="20"/>
    </row>
    <row r="28" customFormat="false" ht="15" hidden="false" customHeight="false" outlineLevel="0" collapsed="false">
      <c r="A28" s="19"/>
      <c r="B28" s="20"/>
      <c r="C28" s="21"/>
      <c r="D28" s="20"/>
      <c r="E28" s="22"/>
      <c r="F28" s="22"/>
      <c r="G28" s="25" t="str">
        <f aca="false">IF(E28="","",MAX(0,E28-N(F28)))</f>
        <v/>
      </c>
      <c r="H28" s="20"/>
      <c r="I28" s="20"/>
    </row>
    <row r="29" customFormat="false" ht="15" hidden="false" customHeight="false" outlineLevel="0" collapsed="false">
      <c r="A29" s="19"/>
      <c r="B29" s="20"/>
      <c r="C29" s="21"/>
      <c r="D29" s="20"/>
      <c r="E29" s="22"/>
      <c r="F29" s="22"/>
      <c r="G29" s="25" t="str">
        <f aca="false">IF(E29="","",MAX(0,E29-N(F29)))</f>
        <v/>
      </c>
      <c r="H29" s="20"/>
      <c r="I29" s="20"/>
    </row>
    <row r="30" customFormat="false" ht="15" hidden="false" customHeight="false" outlineLevel="0" collapsed="false">
      <c r="A30" s="19"/>
      <c r="B30" s="20"/>
      <c r="C30" s="21"/>
      <c r="D30" s="20"/>
      <c r="E30" s="22"/>
      <c r="F30" s="22"/>
      <c r="G30" s="25" t="str">
        <f aca="false">IF(E30="","",MAX(0,E30-N(F30)))</f>
        <v/>
      </c>
      <c r="H30" s="20"/>
      <c r="I30" s="20"/>
    </row>
    <row r="31" customFormat="false" ht="15" hidden="false" customHeight="false" outlineLevel="0" collapsed="false">
      <c r="A31" s="19"/>
      <c r="B31" s="20"/>
      <c r="C31" s="21"/>
      <c r="D31" s="20"/>
      <c r="E31" s="22"/>
      <c r="F31" s="22"/>
      <c r="G31" s="25" t="str">
        <f aca="false">IF(E31="","",MAX(0,E31-N(F31)))</f>
        <v/>
      </c>
      <c r="H31" s="20"/>
      <c r="I31" s="20"/>
    </row>
    <row r="32" customFormat="false" ht="15" hidden="false" customHeight="false" outlineLevel="0" collapsed="false">
      <c r="A32" s="19"/>
      <c r="B32" s="20"/>
      <c r="C32" s="21"/>
      <c r="D32" s="20"/>
      <c r="E32" s="22"/>
      <c r="F32" s="22"/>
      <c r="G32" s="25" t="str">
        <f aca="false">IF(E32="","",MAX(0,E32-N(F32)))</f>
        <v/>
      </c>
      <c r="H32" s="20"/>
      <c r="I32" s="20"/>
    </row>
    <row r="33" customFormat="false" ht="15" hidden="false" customHeight="false" outlineLevel="0" collapsed="false">
      <c r="A33" s="19"/>
      <c r="B33" s="20"/>
      <c r="C33" s="21"/>
      <c r="D33" s="20"/>
      <c r="E33" s="22"/>
      <c r="F33" s="22"/>
      <c r="G33" s="25" t="str">
        <f aca="false">IF(E33="","",MAX(0,E33-N(F33)))</f>
        <v/>
      </c>
      <c r="H33" s="20"/>
      <c r="I33" s="20"/>
    </row>
    <row r="34" customFormat="false" ht="15" hidden="false" customHeight="false" outlineLevel="0" collapsed="false">
      <c r="A34" s="19"/>
      <c r="B34" s="20"/>
      <c r="C34" s="21"/>
      <c r="D34" s="20"/>
      <c r="E34" s="22"/>
      <c r="F34" s="22"/>
      <c r="G34" s="25" t="str">
        <f aca="false">IF(E34="","",MAX(0,E34-N(F34)))</f>
        <v/>
      </c>
      <c r="H34" s="20"/>
      <c r="I34" s="20"/>
    </row>
    <row r="35" customFormat="false" ht="15" hidden="false" customHeight="false" outlineLevel="0" collapsed="false">
      <c r="A35" s="19"/>
      <c r="B35" s="20"/>
      <c r="C35" s="21"/>
      <c r="D35" s="20"/>
      <c r="E35" s="22"/>
      <c r="F35" s="22"/>
      <c r="G35" s="25" t="str">
        <f aca="false">IF(E35="","",MAX(0,E35-N(F35)))</f>
        <v/>
      </c>
      <c r="H35" s="20"/>
      <c r="I35" s="20"/>
    </row>
    <row r="36" customFormat="false" ht="15" hidden="false" customHeight="false" outlineLevel="0" collapsed="false">
      <c r="A36" s="19"/>
      <c r="B36" s="20"/>
      <c r="C36" s="21"/>
      <c r="D36" s="20"/>
      <c r="E36" s="22"/>
      <c r="F36" s="22"/>
      <c r="G36" s="25" t="str">
        <f aca="false">IF(E36="","",MAX(0,E36-N(F36)))</f>
        <v/>
      </c>
      <c r="H36" s="20"/>
      <c r="I36" s="20"/>
    </row>
    <row r="37" customFormat="false" ht="15" hidden="false" customHeight="false" outlineLevel="0" collapsed="false">
      <c r="A37" s="19"/>
      <c r="B37" s="20"/>
      <c r="C37" s="21"/>
      <c r="D37" s="20"/>
      <c r="E37" s="22"/>
      <c r="F37" s="22"/>
      <c r="G37" s="25" t="str">
        <f aca="false">IF(E37="","",MAX(0,E37-N(F37)))</f>
        <v/>
      </c>
      <c r="H37" s="20"/>
      <c r="I37" s="20"/>
    </row>
    <row r="38" customFormat="false" ht="15" hidden="false" customHeight="false" outlineLevel="0" collapsed="false">
      <c r="A38" s="19"/>
      <c r="B38" s="20"/>
      <c r="C38" s="21"/>
      <c r="D38" s="20"/>
      <c r="E38" s="22"/>
      <c r="F38" s="22"/>
      <c r="G38" s="25" t="str">
        <f aca="false">IF(E38="","",MAX(0,E38-N(F38)))</f>
        <v/>
      </c>
      <c r="H38" s="20"/>
      <c r="I38" s="20"/>
    </row>
    <row r="39" customFormat="false" ht="15" hidden="false" customHeight="false" outlineLevel="0" collapsed="false">
      <c r="A39" s="19"/>
      <c r="B39" s="20"/>
      <c r="C39" s="21"/>
      <c r="D39" s="20"/>
      <c r="E39" s="22"/>
      <c r="F39" s="22"/>
      <c r="G39" s="25" t="str">
        <f aca="false">IF(E39="","",MAX(0,E39-N(F39)))</f>
        <v/>
      </c>
      <c r="H39" s="20"/>
      <c r="I39" s="20"/>
    </row>
    <row r="40" customFormat="false" ht="15" hidden="false" customHeight="false" outlineLevel="0" collapsed="false">
      <c r="A40" s="19"/>
      <c r="B40" s="20"/>
      <c r="C40" s="21"/>
      <c r="D40" s="20"/>
      <c r="E40" s="22"/>
      <c r="F40" s="22"/>
      <c r="G40" s="25" t="str">
        <f aca="false">IF(E40="","",MAX(0,E40-N(F40)))</f>
        <v/>
      </c>
      <c r="H40" s="20"/>
      <c r="I40" s="20"/>
    </row>
    <row r="41" customFormat="false" ht="15" hidden="false" customHeight="false" outlineLevel="0" collapsed="false">
      <c r="A41" s="19"/>
      <c r="B41" s="20"/>
      <c r="C41" s="21"/>
      <c r="D41" s="20"/>
      <c r="E41" s="22"/>
      <c r="F41" s="22"/>
      <c r="G41" s="25" t="str">
        <f aca="false">IF(E41="","",MAX(0,E41-N(F41)))</f>
        <v/>
      </c>
      <c r="H41" s="20"/>
      <c r="I41" s="20"/>
    </row>
    <row r="42" customFormat="false" ht="15" hidden="false" customHeight="false" outlineLevel="0" collapsed="false">
      <c r="A42" s="19"/>
      <c r="B42" s="20"/>
      <c r="C42" s="21"/>
      <c r="D42" s="20"/>
      <c r="E42" s="22"/>
      <c r="F42" s="22"/>
      <c r="G42" s="25" t="str">
        <f aca="false">IF(E42="","",MAX(0,E42-N(F42)))</f>
        <v/>
      </c>
      <c r="H42" s="20"/>
      <c r="I42" s="20"/>
    </row>
    <row r="43" customFormat="false" ht="15" hidden="false" customHeight="false" outlineLevel="0" collapsed="false">
      <c r="A43" s="19"/>
      <c r="B43" s="20"/>
      <c r="C43" s="21"/>
      <c r="D43" s="20"/>
      <c r="E43" s="22"/>
      <c r="F43" s="22"/>
      <c r="G43" s="25" t="str">
        <f aca="false">IF(E43="","",MAX(0,E43-N(F43)))</f>
        <v/>
      </c>
      <c r="H43" s="20"/>
      <c r="I43" s="20"/>
    </row>
    <row r="44" customFormat="false" ht="15" hidden="false" customHeight="false" outlineLevel="0" collapsed="false">
      <c r="A44" s="19"/>
      <c r="B44" s="20"/>
      <c r="C44" s="21"/>
      <c r="D44" s="20"/>
      <c r="E44" s="22"/>
      <c r="F44" s="22"/>
      <c r="G44" s="25" t="str">
        <f aca="false">IF(E44="","",MAX(0,E44-N(F44)))</f>
        <v/>
      </c>
      <c r="H44" s="20"/>
      <c r="I44" s="20"/>
    </row>
    <row r="45" customFormat="false" ht="15" hidden="false" customHeight="false" outlineLevel="0" collapsed="false">
      <c r="A45" s="19"/>
      <c r="B45" s="20"/>
      <c r="C45" s="21"/>
      <c r="D45" s="20"/>
      <c r="E45" s="22"/>
      <c r="F45" s="22"/>
      <c r="G45" s="25" t="str">
        <f aca="false">IF(E45="","",MAX(0,E45-N(F45)))</f>
        <v/>
      </c>
      <c r="H45" s="20"/>
      <c r="I45" s="20"/>
    </row>
    <row r="46" customFormat="false" ht="15" hidden="false" customHeight="false" outlineLevel="0" collapsed="false">
      <c r="A46" s="19"/>
      <c r="B46" s="20"/>
      <c r="C46" s="21"/>
      <c r="D46" s="20"/>
      <c r="E46" s="22"/>
      <c r="F46" s="22"/>
      <c r="G46" s="25" t="str">
        <f aca="false">IF(E46="","",MAX(0,E46-N(F46)))</f>
        <v/>
      </c>
      <c r="H46" s="20"/>
      <c r="I46" s="20"/>
    </row>
    <row r="47" customFormat="false" ht="15" hidden="false" customHeight="false" outlineLevel="0" collapsed="false">
      <c r="A47" s="19"/>
      <c r="B47" s="20"/>
      <c r="C47" s="21"/>
      <c r="D47" s="20"/>
      <c r="E47" s="22"/>
      <c r="F47" s="22"/>
      <c r="G47" s="25" t="str">
        <f aca="false">IF(E47="","",MAX(0,E47-N(F47)))</f>
        <v/>
      </c>
      <c r="H47" s="20"/>
      <c r="I47" s="20"/>
    </row>
    <row r="48" customFormat="false" ht="15" hidden="false" customHeight="false" outlineLevel="0" collapsed="false">
      <c r="A48" s="19"/>
      <c r="B48" s="20"/>
      <c r="C48" s="21"/>
      <c r="D48" s="20"/>
      <c r="E48" s="22"/>
      <c r="F48" s="22"/>
      <c r="G48" s="25" t="str">
        <f aca="false">IF(E48="","",MAX(0,E48-N(F48)))</f>
        <v/>
      </c>
      <c r="H48" s="20"/>
      <c r="I48" s="20"/>
    </row>
    <row r="49" customFormat="false" ht="15" hidden="false" customHeight="false" outlineLevel="0" collapsed="false">
      <c r="A49" s="19"/>
      <c r="B49" s="20"/>
      <c r="C49" s="21"/>
      <c r="D49" s="20"/>
      <c r="E49" s="22"/>
      <c r="F49" s="22"/>
      <c r="G49" s="25" t="str">
        <f aca="false">IF(E49="","",MAX(0,E49-N(F49)))</f>
        <v/>
      </c>
      <c r="H49" s="20"/>
      <c r="I49" s="20"/>
    </row>
    <row r="50" customFormat="false" ht="15" hidden="false" customHeight="false" outlineLevel="0" collapsed="false">
      <c r="A50" s="19"/>
      <c r="B50" s="20"/>
      <c r="C50" s="21"/>
      <c r="D50" s="20"/>
      <c r="E50" s="22"/>
      <c r="F50" s="22"/>
      <c r="G50" s="25" t="str">
        <f aca="false">IF(E50="","",MAX(0,E50-N(F50)))</f>
        <v/>
      </c>
      <c r="H50" s="20"/>
      <c r="I50" s="20"/>
    </row>
    <row r="51" customFormat="false" ht="15" hidden="false" customHeight="false" outlineLevel="0" collapsed="false">
      <c r="A51" s="19"/>
      <c r="B51" s="20"/>
      <c r="C51" s="21"/>
      <c r="D51" s="20"/>
      <c r="E51" s="22"/>
      <c r="F51" s="22"/>
      <c r="G51" s="25" t="str">
        <f aca="false">IF(E51="","",MAX(0,E51-N(F51)))</f>
        <v/>
      </c>
      <c r="H51" s="20"/>
      <c r="I51" s="20"/>
    </row>
    <row r="52" customFormat="false" ht="15" hidden="false" customHeight="false" outlineLevel="0" collapsed="false">
      <c r="A52" s="19"/>
      <c r="B52" s="20"/>
      <c r="C52" s="21"/>
      <c r="D52" s="20"/>
      <c r="E52" s="22"/>
      <c r="F52" s="22"/>
      <c r="G52" s="25" t="str">
        <f aca="false">IF(E52="","",MAX(0,E52-N(F52)))</f>
        <v/>
      </c>
      <c r="H52" s="20"/>
      <c r="I52" s="20"/>
    </row>
    <row r="53" customFormat="false" ht="15" hidden="false" customHeight="false" outlineLevel="0" collapsed="false">
      <c r="A53" s="19"/>
      <c r="B53" s="20"/>
      <c r="C53" s="21"/>
      <c r="D53" s="20"/>
      <c r="E53" s="22"/>
      <c r="F53" s="22"/>
      <c r="G53" s="25" t="str">
        <f aca="false">IF(E53="","",MAX(0,E53-N(F53)))</f>
        <v/>
      </c>
      <c r="H53" s="20"/>
      <c r="I53" s="20"/>
    </row>
    <row r="54" customFormat="false" ht="15" hidden="false" customHeight="false" outlineLevel="0" collapsed="false">
      <c r="A54" s="19"/>
      <c r="B54" s="20"/>
      <c r="C54" s="21"/>
      <c r="D54" s="20"/>
      <c r="E54" s="22"/>
      <c r="F54" s="22"/>
      <c r="G54" s="25" t="str">
        <f aca="false">IF(E54="","",MAX(0,E54-N(F54)))</f>
        <v/>
      </c>
      <c r="H54" s="20"/>
      <c r="I54" s="20"/>
    </row>
    <row r="55" customFormat="false" ht="15" hidden="false" customHeight="false" outlineLevel="0" collapsed="false">
      <c r="A55" s="19"/>
      <c r="B55" s="20"/>
      <c r="C55" s="21"/>
      <c r="D55" s="20"/>
      <c r="E55" s="22"/>
      <c r="F55" s="22"/>
      <c r="G55" s="25" t="str">
        <f aca="false">IF(E55="","",MAX(0,E55-N(F55)))</f>
        <v/>
      </c>
      <c r="H55" s="20"/>
      <c r="I55" s="20"/>
    </row>
    <row r="56" customFormat="false" ht="15" hidden="false" customHeight="false" outlineLevel="0" collapsed="false">
      <c r="A56" s="19"/>
      <c r="B56" s="20"/>
      <c r="C56" s="21"/>
      <c r="D56" s="20"/>
      <c r="E56" s="22"/>
      <c r="F56" s="22"/>
      <c r="G56" s="25" t="str">
        <f aca="false">IF(E56="","",MAX(0,E56-N(F56)))</f>
        <v/>
      </c>
      <c r="H56" s="20"/>
      <c r="I56" s="20"/>
    </row>
    <row r="57" customFormat="false" ht="15" hidden="false" customHeight="false" outlineLevel="0" collapsed="false">
      <c r="A57" s="19"/>
      <c r="B57" s="20"/>
      <c r="C57" s="21"/>
      <c r="D57" s="20"/>
      <c r="E57" s="22"/>
      <c r="F57" s="22"/>
      <c r="G57" s="25" t="str">
        <f aca="false">IF(E57="","",MAX(0,E57-N(F57)))</f>
        <v/>
      </c>
      <c r="H57" s="20"/>
      <c r="I57" s="20"/>
    </row>
    <row r="58" customFormat="false" ht="15" hidden="false" customHeight="false" outlineLevel="0" collapsed="false">
      <c r="A58" s="19"/>
      <c r="B58" s="20"/>
      <c r="C58" s="21"/>
      <c r="D58" s="20"/>
      <c r="E58" s="22"/>
      <c r="F58" s="22"/>
      <c r="G58" s="25" t="str">
        <f aca="false">IF(E58="","",MAX(0,E58-N(F58)))</f>
        <v/>
      </c>
      <c r="H58" s="20"/>
      <c r="I58" s="20"/>
    </row>
    <row r="59" customFormat="false" ht="15" hidden="false" customHeight="false" outlineLevel="0" collapsed="false">
      <c r="A59" s="19"/>
      <c r="B59" s="20"/>
      <c r="C59" s="21"/>
      <c r="D59" s="20"/>
      <c r="E59" s="22"/>
      <c r="F59" s="22"/>
      <c r="G59" s="25" t="str">
        <f aca="false">IF(E59="","",MAX(0,E59-N(F59)))</f>
        <v/>
      </c>
      <c r="H59" s="20"/>
      <c r="I59" s="20"/>
    </row>
    <row r="60" customFormat="false" ht="15" hidden="false" customHeight="false" outlineLevel="0" collapsed="false">
      <c r="A60" s="19"/>
      <c r="B60" s="20"/>
      <c r="C60" s="21"/>
      <c r="D60" s="20"/>
      <c r="E60" s="22"/>
      <c r="F60" s="22"/>
      <c r="G60" s="25" t="str">
        <f aca="false">IF(E60="","",MAX(0,E60-N(F60)))</f>
        <v/>
      </c>
      <c r="H60" s="20"/>
      <c r="I60" s="20"/>
    </row>
    <row r="61" customFormat="false" ht="15" hidden="false" customHeight="false" outlineLevel="0" collapsed="false">
      <c r="A61" s="19"/>
      <c r="B61" s="20"/>
      <c r="C61" s="21"/>
      <c r="D61" s="20"/>
      <c r="E61" s="22"/>
      <c r="F61" s="22"/>
      <c r="G61" s="25" t="str">
        <f aca="false">IF(E61="","",MAX(0,E61-N(F61)))</f>
        <v/>
      </c>
      <c r="H61" s="20"/>
      <c r="I61" s="20"/>
    </row>
    <row r="62" customFormat="false" ht="15" hidden="false" customHeight="false" outlineLevel="0" collapsed="false">
      <c r="A62" s="19"/>
      <c r="B62" s="20"/>
      <c r="C62" s="21"/>
      <c r="D62" s="20"/>
      <c r="E62" s="22"/>
      <c r="F62" s="22"/>
      <c r="G62" s="25" t="str">
        <f aca="false">IF(E62="","",MAX(0,E62-N(F62)))</f>
        <v/>
      </c>
      <c r="H62" s="20"/>
      <c r="I62" s="20"/>
    </row>
    <row r="63" customFormat="false" ht="15" hidden="false" customHeight="false" outlineLevel="0" collapsed="false">
      <c r="A63" s="19"/>
      <c r="B63" s="20"/>
      <c r="C63" s="21"/>
      <c r="D63" s="20"/>
      <c r="E63" s="22"/>
      <c r="F63" s="22"/>
      <c r="G63" s="25" t="str">
        <f aca="false">IF(E63="","",MAX(0,E63-N(F63)))</f>
        <v/>
      </c>
      <c r="H63" s="20"/>
      <c r="I63" s="20"/>
    </row>
    <row r="64" customFormat="false" ht="15" hidden="false" customHeight="false" outlineLevel="0" collapsed="false">
      <c r="A64" s="19"/>
      <c r="B64" s="20"/>
      <c r="C64" s="21"/>
      <c r="D64" s="20"/>
      <c r="E64" s="22"/>
      <c r="F64" s="22"/>
      <c r="G64" s="25" t="str">
        <f aca="false">IF(E64="","",MAX(0,E64-N(F64)))</f>
        <v/>
      </c>
      <c r="H64" s="20"/>
      <c r="I64" s="20"/>
    </row>
    <row r="65" customFormat="false" ht="15" hidden="false" customHeight="false" outlineLevel="0" collapsed="false">
      <c r="A65" s="19"/>
      <c r="B65" s="20"/>
      <c r="C65" s="21"/>
      <c r="D65" s="20"/>
      <c r="E65" s="22"/>
      <c r="F65" s="22"/>
      <c r="G65" s="25" t="str">
        <f aca="false">IF(E65="","",MAX(0,E65-N(F65)))</f>
        <v/>
      </c>
      <c r="H65" s="20"/>
      <c r="I65" s="20"/>
    </row>
    <row r="66" customFormat="false" ht="15" hidden="false" customHeight="false" outlineLevel="0" collapsed="false">
      <c r="A66" s="19"/>
      <c r="B66" s="20"/>
      <c r="C66" s="21"/>
      <c r="D66" s="20"/>
      <c r="E66" s="22"/>
      <c r="F66" s="22"/>
      <c r="G66" s="25" t="str">
        <f aca="false">IF(E66="","",MAX(0,E66-N(F66)))</f>
        <v/>
      </c>
      <c r="H66" s="20"/>
      <c r="I66" s="20"/>
    </row>
    <row r="67" customFormat="false" ht="15" hidden="false" customHeight="false" outlineLevel="0" collapsed="false">
      <c r="A67" s="19"/>
      <c r="B67" s="20"/>
      <c r="C67" s="21"/>
      <c r="D67" s="20"/>
      <c r="E67" s="22"/>
      <c r="F67" s="22"/>
      <c r="G67" s="25" t="str">
        <f aca="false">IF(E67="","",MAX(0,E67-N(F67)))</f>
        <v/>
      </c>
      <c r="H67" s="20"/>
      <c r="I67" s="20"/>
    </row>
    <row r="68" customFormat="false" ht="15" hidden="false" customHeight="false" outlineLevel="0" collapsed="false">
      <c r="A68" s="19"/>
      <c r="B68" s="20"/>
      <c r="C68" s="21"/>
      <c r="D68" s="20"/>
      <c r="E68" s="22"/>
      <c r="F68" s="22"/>
      <c r="G68" s="25" t="str">
        <f aca="false">IF(E68="","",MAX(0,E68-N(F68)))</f>
        <v/>
      </c>
      <c r="H68" s="20"/>
      <c r="I68" s="20"/>
    </row>
    <row r="69" customFormat="false" ht="15" hidden="false" customHeight="false" outlineLevel="0" collapsed="false">
      <c r="A69" s="19"/>
      <c r="B69" s="20"/>
      <c r="C69" s="21"/>
      <c r="D69" s="20"/>
      <c r="E69" s="22"/>
      <c r="F69" s="22"/>
      <c r="G69" s="25" t="str">
        <f aca="false">IF(E69="","",MAX(0,E69-N(F69)))</f>
        <v/>
      </c>
      <c r="H69" s="20"/>
      <c r="I69" s="20"/>
    </row>
    <row r="70" customFormat="false" ht="15" hidden="false" customHeight="false" outlineLevel="0" collapsed="false">
      <c r="A70" s="19"/>
      <c r="B70" s="20"/>
      <c r="C70" s="21"/>
      <c r="D70" s="20"/>
      <c r="E70" s="22"/>
      <c r="F70" s="22"/>
      <c r="G70" s="25" t="str">
        <f aca="false">IF(E70="","",MAX(0,E70-N(F70)))</f>
        <v/>
      </c>
      <c r="H70" s="20"/>
      <c r="I70" s="20"/>
    </row>
    <row r="71" customFormat="false" ht="15" hidden="false" customHeight="false" outlineLevel="0" collapsed="false">
      <c r="A71" s="19"/>
      <c r="B71" s="20"/>
      <c r="C71" s="21"/>
      <c r="D71" s="20"/>
      <c r="E71" s="22"/>
      <c r="F71" s="22"/>
      <c r="G71" s="25" t="str">
        <f aca="false">IF(E71="","",MAX(0,E71-N(F71)))</f>
        <v/>
      </c>
      <c r="H71" s="20"/>
      <c r="I71" s="20"/>
    </row>
    <row r="72" customFormat="false" ht="15" hidden="false" customHeight="false" outlineLevel="0" collapsed="false">
      <c r="A72" s="19"/>
      <c r="B72" s="20"/>
      <c r="C72" s="21"/>
      <c r="D72" s="20"/>
      <c r="E72" s="22"/>
      <c r="F72" s="22"/>
      <c r="G72" s="25" t="str">
        <f aca="false">IF(E72="","",MAX(0,E72-N(F72)))</f>
        <v/>
      </c>
      <c r="H72" s="20"/>
      <c r="I72" s="20"/>
    </row>
    <row r="73" customFormat="false" ht="15" hidden="false" customHeight="false" outlineLevel="0" collapsed="false">
      <c r="A73" s="19"/>
      <c r="B73" s="20"/>
      <c r="C73" s="21"/>
      <c r="D73" s="20"/>
      <c r="E73" s="22"/>
      <c r="F73" s="22"/>
      <c r="G73" s="25" t="str">
        <f aca="false">IF(E73="","",MAX(0,E73-N(F73)))</f>
        <v/>
      </c>
      <c r="H73" s="20"/>
      <c r="I73" s="20"/>
    </row>
    <row r="74" customFormat="false" ht="15" hidden="false" customHeight="false" outlineLevel="0" collapsed="false">
      <c r="A74" s="19"/>
      <c r="B74" s="20"/>
      <c r="C74" s="21"/>
      <c r="D74" s="20"/>
      <c r="E74" s="22"/>
      <c r="F74" s="22"/>
      <c r="G74" s="25" t="str">
        <f aca="false">IF(E74="","",MAX(0,E74-N(F74)))</f>
        <v/>
      </c>
      <c r="H74" s="20"/>
      <c r="I74" s="20"/>
    </row>
    <row r="75" customFormat="false" ht="15" hidden="false" customHeight="false" outlineLevel="0" collapsed="false">
      <c r="A75" s="19"/>
      <c r="B75" s="20"/>
      <c r="C75" s="21"/>
      <c r="D75" s="20"/>
      <c r="E75" s="22"/>
      <c r="F75" s="22"/>
      <c r="G75" s="25" t="str">
        <f aca="false">IF(E75="","",MAX(0,E75-N(F75)))</f>
        <v/>
      </c>
      <c r="H75" s="20"/>
      <c r="I75" s="20"/>
    </row>
    <row r="76" customFormat="false" ht="15" hidden="false" customHeight="false" outlineLevel="0" collapsed="false">
      <c r="A76" s="19"/>
      <c r="B76" s="20"/>
      <c r="C76" s="21"/>
      <c r="D76" s="20"/>
      <c r="E76" s="22"/>
      <c r="F76" s="22"/>
      <c r="G76" s="25" t="str">
        <f aca="false">IF(E76="","",MAX(0,E76-N(F76)))</f>
        <v/>
      </c>
      <c r="H76" s="20"/>
      <c r="I76" s="20"/>
    </row>
    <row r="77" customFormat="false" ht="15" hidden="false" customHeight="false" outlineLevel="0" collapsed="false">
      <c r="A77" s="19"/>
      <c r="B77" s="20"/>
      <c r="C77" s="21"/>
      <c r="D77" s="20"/>
      <c r="E77" s="22"/>
      <c r="F77" s="22"/>
      <c r="G77" s="25" t="str">
        <f aca="false">IF(E77="","",MAX(0,E77-N(F77)))</f>
        <v/>
      </c>
      <c r="H77" s="20"/>
      <c r="I77" s="20"/>
    </row>
    <row r="78" customFormat="false" ht="15" hidden="false" customHeight="false" outlineLevel="0" collapsed="false">
      <c r="A78" s="19"/>
      <c r="B78" s="20"/>
      <c r="C78" s="21"/>
      <c r="D78" s="20"/>
      <c r="E78" s="22"/>
      <c r="F78" s="22"/>
      <c r="G78" s="25" t="str">
        <f aca="false">IF(E78="","",MAX(0,E78-N(F78)))</f>
        <v/>
      </c>
      <c r="H78" s="20"/>
      <c r="I78" s="20"/>
    </row>
    <row r="79" customFormat="false" ht="15" hidden="false" customHeight="false" outlineLevel="0" collapsed="false">
      <c r="A79" s="19"/>
      <c r="B79" s="20"/>
      <c r="C79" s="21"/>
      <c r="D79" s="20"/>
      <c r="E79" s="22"/>
      <c r="F79" s="22"/>
      <c r="G79" s="25" t="str">
        <f aca="false">IF(E79="","",MAX(0,E79-N(F79)))</f>
        <v/>
      </c>
      <c r="H79" s="20"/>
      <c r="I79" s="20"/>
    </row>
    <row r="80" customFormat="false" ht="15" hidden="false" customHeight="false" outlineLevel="0" collapsed="false">
      <c r="A80" s="19"/>
      <c r="B80" s="20"/>
      <c r="C80" s="21"/>
      <c r="D80" s="20"/>
      <c r="E80" s="22"/>
      <c r="F80" s="22"/>
      <c r="G80" s="25" t="str">
        <f aca="false">IF(E80="","",MAX(0,E80-N(F80)))</f>
        <v/>
      </c>
      <c r="H80" s="20"/>
      <c r="I80" s="20"/>
    </row>
    <row r="81" customFormat="false" ht="15" hidden="false" customHeight="false" outlineLevel="0" collapsed="false">
      <c r="A81" s="19"/>
      <c r="B81" s="20"/>
      <c r="C81" s="21"/>
      <c r="D81" s="20"/>
      <c r="E81" s="22"/>
      <c r="F81" s="22"/>
      <c r="G81" s="25" t="str">
        <f aca="false">IF(E81="","",MAX(0,E81-N(F81)))</f>
        <v/>
      </c>
      <c r="H81" s="20"/>
      <c r="I81" s="20"/>
    </row>
    <row r="82" customFormat="false" ht="15" hidden="false" customHeight="false" outlineLevel="0" collapsed="false">
      <c r="A82" s="19"/>
      <c r="B82" s="20"/>
      <c r="C82" s="21"/>
      <c r="D82" s="20"/>
      <c r="E82" s="22"/>
      <c r="F82" s="22"/>
      <c r="G82" s="25" t="str">
        <f aca="false">IF(E82="","",MAX(0,E82-N(F82)))</f>
        <v/>
      </c>
      <c r="H82" s="20"/>
      <c r="I82" s="20"/>
    </row>
    <row r="83" customFormat="false" ht="15" hidden="false" customHeight="false" outlineLevel="0" collapsed="false">
      <c r="A83" s="19"/>
      <c r="B83" s="20"/>
      <c r="C83" s="21"/>
      <c r="D83" s="20"/>
      <c r="E83" s="22"/>
      <c r="F83" s="22"/>
      <c r="G83" s="25" t="str">
        <f aca="false">IF(E83="","",MAX(0,E83-N(F83)))</f>
        <v/>
      </c>
      <c r="H83" s="20"/>
      <c r="I83" s="20"/>
    </row>
    <row r="84" customFormat="false" ht="15" hidden="false" customHeight="false" outlineLevel="0" collapsed="false">
      <c r="A84" s="19"/>
      <c r="B84" s="20"/>
      <c r="C84" s="21"/>
      <c r="D84" s="20"/>
      <c r="E84" s="22"/>
      <c r="F84" s="22"/>
      <c r="G84" s="25" t="str">
        <f aca="false">IF(E84="","",MAX(0,E84-N(F84)))</f>
        <v/>
      </c>
      <c r="H84" s="20"/>
      <c r="I84" s="20"/>
    </row>
    <row r="85" customFormat="false" ht="15" hidden="false" customHeight="false" outlineLevel="0" collapsed="false">
      <c r="A85" s="19"/>
      <c r="B85" s="20"/>
      <c r="C85" s="21"/>
      <c r="D85" s="20"/>
      <c r="E85" s="22"/>
      <c r="F85" s="22"/>
      <c r="G85" s="25" t="str">
        <f aca="false">IF(E85="","",MAX(0,E85-N(F85)))</f>
        <v/>
      </c>
      <c r="H85" s="20"/>
      <c r="I85" s="20"/>
    </row>
    <row r="86" customFormat="false" ht="15" hidden="false" customHeight="false" outlineLevel="0" collapsed="false">
      <c r="A86" s="19"/>
      <c r="B86" s="20"/>
      <c r="C86" s="21"/>
      <c r="D86" s="20"/>
      <c r="E86" s="22"/>
      <c r="F86" s="22"/>
      <c r="G86" s="25" t="str">
        <f aca="false">IF(E86="","",MAX(0,E86-N(F86)))</f>
        <v/>
      </c>
      <c r="H86" s="20"/>
      <c r="I86" s="20"/>
    </row>
    <row r="87" customFormat="false" ht="15" hidden="false" customHeight="false" outlineLevel="0" collapsed="false">
      <c r="A87" s="19"/>
      <c r="B87" s="20"/>
      <c r="C87" s="21"/>
      <c r="D87" s="20"/>
      <c r="E87" s="22"/>
      <c r="F87" s="22"/>
      <c r="G87" s="25" t="str">
        <f aca="false">IF(E87="","",MAX(0,E87-N(F87)))</f>
        <v/>
      </c>
      <c r="H87" s="20"/>
      <c r="I87" s="20"/>
    </row>
    <row r="88" customFormat="false" ht="15" hidden="false" customHeight="false" outlineLevel="0" collapsed="false">
      <c r="A88" s="19"/>
      <c r="B88" s="20"/>
      <c r="C88" s="21"/>
      <c r="D88" s="20"/>
      <c r="E88" s="22"/>
      <c r="F88" s="22"/>
      <c r="G88" s="25" t="str">
        <f aca="false">IF(E88="","",MAX(0,E88-N(F88)))</f>
        <v/>
      </c>
      <c r="H88" s="20"/>
      <c r="I88" s="20"/>
    </row>
    <row r="89" customFormat="false" ht="15" hidden="false" customHeight="false" outlineLevel="0" collapsed="false">
      <c r="A89" s="19"/>
      <c r="B89" s="20"/>
      <c r="C89" s="21"/>
      <c r="D89" s="20"/>
      <c r="E89" s="22"/>
      <c r="F89" s="22"/>
      <c r="G89" s="25" t="str">
        <f aca="false">IF(E89="","",MAX(0,E89-N(F89)))</f>
        <v/>
      </c>
      <c r="H89" s="20"/>
      <c r="I89" s="20"/>
    </row>
    <row r="90" customFormat="false" ht="15" hidden="false" customHeight="false" outlineLevel="0" collapsed="false">
      <c r="A90" s="19"/>
      <c r="B90" s="20"/>
      <c r="C90" s="21"/>
      <c r="D90" s="20"/>
      <c r="E90" s="22"/>
      <c r="F90" s="22"/>
      <c r="G90" s="25" t="str">
        <f aca="false">IF(E90="","",MAX(0,E90-N(F90)))</f>
        <v/>
      </c>
      <c r="H90" s="20"/>
      <c r="I90" s="20"/>
    </row>
    <row r="91" customFormat="false" ht="15" hidden="false" customHeight="false" outlineLevel="0" collapsed="false">
      <c r="A91" s="19"/>
      <c r="B91" s="20"/>
      <c r="C91" s="21"/>
      <c r="D91" s="20"/>
      <c r="E91" s="22"/>
      <c r="F91" s="22"/>
      <c r="G91" s="25" t="str">
        <f aca="false">IF(E91="","",MAX(0,E91-N(F91)))</f>
        <v/>
      </c>
      <c r="H91" s="20"/>
      <c r="I91" s="20"/>
    </row>
    <row r="92" customFormat="false" ht="15" hidden="false" customHeight="false" outlineLevel="0" collapsed="false">
      <c r="A92" s="19"/>
      <c r="B92" s="20"/>
      <c r="C92" s="21"/>
      <c r="D92" s="20"/>
      <c r="E92" s="22"/>
      <c r="F92" s="22"/>
      <c r="G92" s="25" t="str">
        <f aca="false">IF(E92="","",MAX(0,E92-N(F92)))</f>
        <v/>
      </c>
      <c r="H92" s="20"/>
      <c r="I92" s="20"/>
    </row>
    <row r="93" customFormat="false" ht="15" hidden="false" customHeight="false" outlineLevel="0" collapsed="false">
      <c r="A93" s="19"/>
      <c r="B93" s="20"/>
      <c r="C93" s="21"/>
      <c r="D93" s="20"/>
      <c r="E93" s="22"/>
      <c r="F93" s="22"/>
      <c r="G93" s="25" t="str">
        <f aca="false">IF(E93="","",MAX(0,E93-N(F93)))</f>
        <v/>
      </c>
      <c r="H93" s="20"/>
      <c r="I93" s="20"/>
    </row>
    <row r="94" customFormat="false" ht="15" hidden="false" customHeight="false" outlineLevel="0" collapsed="false">
      <c r="A94" s="19"/>
      <c r="B94" s="20"/>
      <c r="C94" s="21"/>
      <c r="D94" s="20"/>
      <c r="E94" s="22"/>
      <c r="F94" s="22"/>
      <c r="G94" s="25" t="str">
        <f aca="false">IF(E94="","",MAX(0,E94-N(F94)))</f>
        <v/>
      </c>
      <c r="H94" s="20"/>
      <c r="I94" s="20"/>
    </row>
    <row r="95" customFormat="false" ht="15" hidden="false" customHeight="false" outlineLevel="0" collapsed="false">
      <c r="A95" s="19"/>
      <c r="B95" s="20"/>
      <c r="C95" s="21"/>
      <c r="D95" s="20"/>
      <c r="E95" s="22"/>
      <c r="F95" s="22"/>
      <c r="G95" s="25" t="str">
        <f aca="false">IF(E95="","",MAX(0,E95-N(F95)))</f>
        <v/>
      </c>
      <c r="H95" s="20"/>
      <c r="I95" s="20"/>
    </row>
    <row r="96" customFormat="false" ht="15" hidden="false" customHeight="false" outlineLevel="0" collapsed="false">
      <c r="A96" s="19"/>
      <c r="B96" s="20"/>
      <c r="C96" s="21"/>
      <c r="D96" s="20"/>
      <c r="E96" s="22"/>
      <c r="F96" s="22"/>
      <c r="G96" s="25" t="str">
        <f aca="false">IF(E96="","",MAX(0,E96-N(F96)))</f>
        <v/>
      </c>
      <c r="H96" s="20"/>
      <c r="I96" s="20"/>
    </row>
    <row r="97" customFormat="false" ht="15" hidden="false" customHeight="false" outlineLevel="0" collapsed="false">
      <c r="A97" s="19"/>
      <c r="B97" s="20"/>
      <c r="C97" s="21"/>
      <c r="D97" s="20"/>
      <c r="E97" s="22"/>
      <c r="F97" s="22"/>
      <c r="G97" s="25" t="str">
        <f aca="false">IF(E97="","",MAX(0,E97-N(F97)))</f>
        <v/>
      </c>
      <c r="H97" s="20"/>
      <c r="I97" s="20"/>
    </row>
    <row r="98" customFormat="false" ht="15" hidden="false" customHeight="false" outlineLevel="0" collapsed="false">
      <c r="A98" s="19"/>
      <c r="B98" s="20"/>
      <c r="C98" s="21"/>
      <c r="D98" s="20"/>
      <c r="E98" s="22"/>
      <c r="F98" s="22"/>
      <c r="G98" s="25" t="str">
        <f aca="false">IF(E98="","",MAX(0,E98-N(F98)))</f>
        <v/>
      </c>
      <c r="H98" s="20"/>
      <c r="I98" s="20"/>
    </row>
    <row r="99" customFormat="false" ht="15" hidden="false" customHeight="false" outlineLevel="0" collapsed="false">
      <c r="A99" s="19"/>
      <c r="B99" s="20"/>
      <c r="C99" s="21"/>
      <c r="D99" s="20"/>
      <c r="E99" s="22"/>
      <c r="F99" s="22"/>
      <c r="G99" s="25" t="str">
        <f aca="false">IF(E99="","",MAX(0,E99-N(F99)))</f>
        <v/>
      </c>
      <c r="H99" s="20"/>
      <c r="I99" s="20"/>
    </row>
    <row r="100" customFormat="false" ht="15" hidden="false" customHeight="false" outlineLevel="0" collapsed="false">
      <c r="A100" s="19"/>
      <c r="B100" s="20"/>
      <c r="C100" s="21"/>
      <c r="D100" s="20"/>
      <c r="E100" s="22"/>
      <c r="F100" s="22"/>
      <c r="G100" s="25" t="str">
        <f aca="false">IF(E100="","",MAX(0,E100-N(F100)))</f>
        <v/>
      </c>
      <c r="H100" s="20"/>
      <c r="I100" s="20"/>
    </row>
    <row r="101" customFormat="false" ht="15" hidden="false" customHeight="false" outlineLevel="0" collapsed="false">
      <c r="A101" s="19"/>
      <c r="B101" s="20"/>
      <c r="C101" s="21"/>
      <c r="D101" s="20"/>
      <c r="E101" s="22"/>
      <c r="F101" s="22"/>
      <c r="G101" s="25" t="str">
        <f aca="false">IF(E101="","",MAX(0,E101-N(F101)))</f>
        <v/>
      </c>
      <c r="H101" s="20"/>
      <c r="I101" s="20"/>
    </row>
    <row r="102" customFormat="false" ht="15" hidden="false" customHeight="false" outlineLevel="0" collapsed="false">
      <c r="A102" s="19"/>
      <c r="B102" s="20"/>
      <c r="C102" s="21"/>
      <c r="D102" s="20"/>
      <c r="E102" s="22"/>
      <c r="F102" s="22"/>
      <c r="G102" s="25" t="str">
        <f aca="false">IF(E102="","",MAX(0,E102-N(F102)))</f>
        <v/>
      </c>
      <c r="H102" s="20"/>
      <c r="I102" s="20"/>
    </row>
    <row r="103" customFormat="false" ht="15" hidden="false" customHeight="false" outlineLevel="0" collapsed="false">
      <c r="A103" s="19"/>
      <c r="B103" s="20"/>
      <c r="C103" s="21"/>
      <c r="D103" s="20"/>
      <c r="E103" s="22"/>
      <c r="F103" s="22"/>
      <c r="G103" s="25" t="str">
        <f aca="false">IF(E103="","",MAX(0,E103-N(F103)))</f>
        <v/>
      </c>
      <c r="H103" s="20"/>
      <c r="I103" s="20"/>
    </row>
    <row r="104" customFormat="false" ht="15" hidden="false" customHeight="false" outlineLevel="0" collapsed="false">
      <c r="A104" s="19"/>
      <c r="B104" s="20"/>
      <c r="C104" s="21"/>
      <c r="D104" s="20"/>
      <c r="E104" s="22"/>
      <c r="F104" s="22"/>
      <c r="G104" s="25" t="str">
        <f aca="false">IF(E104="","",MAX(0,E104-N(F104)))</f>
        <v/>
      </c>
      <c r="H104" s="20"/>
      <c r="I104" s="20"/>
    </row>
    <row r="105" customFormat="false" ht="15" hidden="false" customHeight="false" outlineLevel="0" collapsed="false">
      <c r="A105" s="19"/>
      <c r="B105" s="20"/>
      <c r="C105" s="21"/>
      <c r="D105" s="20"/>
      <c r="E105" s="22"/>
      <c r="F105" s="22"/>
      <c r="G105" s="25" t="str">
        <f aca="false">IF(E105="","",MAX(0,E105-N(F105)))</f>
        <v/>
      </c>
      <c r="H105" s="20"/>
      <c r="I105" s="20"/>
    </row>
    <row r="106" customFormat="false" ht="15" hidden="false" customHeight="false" outlineLevel="0" collapsed="false">
      <c r="A106" s="19"/>
      <c r="B106" s="20"/>
      <c r="C106" s="21"/>
      <c r="D106" s="20"/>
      <c r="E106" s="22"/>
      <c r="F106" s="22"/>
      <c r="G106" s="25" t="str">
        <f aca="false">IF(E106="","",MAX(0,E106-N(F106)))</f>
        <v/>
      </c>
      <c r="H106" s="20"/>
      <c r="I106" s="20"/>
    </row>
    <row r="107" customFormat="false" ht="15" hidden="false" customHeight="false" outlineLevel="0" collapsed="false">
      <c r="A107" s="19"/>
      <c r="B107" s="20"/>
      <c r="C107" s="21"/>
      <c r="D107" s="20"/>
      <c r="E107" s="22"/>
      <c r="F107" s="22"/>
      <c r="G107" s="25" t="str">
        <f aca="false">IF(E107="","",MAX(0,E107-N(F107)))</f>
        <v/>
      </c>
      <c r="H107" s="20"/>
      <c r="I107" s="20"/>
    </row>
    <row r="108" customFormat="false" ht="15" hidden="false" customHeight="false" outlineLevel="0" collapsed="false">
      <c r="A108" s="19"/>
      <c r="B108" s="20"/>
      <c r="C108" s="21"/>
      <c r="D108" s="20"/>
      <c r="E108" s="22"/>
      <c r="F108" s="22"/>
      <c r="G108" s="25" t="str">
        <f aca="false">IF(E108="","",MAX(0,E108-N(F108)))</f>
        <v/>
      </c>
      <c r="H108" s="20"/>
      <c r="I108" s="20"/>
    </row>
    <row r="109" customFormat="false" ht="15" hidden="false" customHeight="false" outlineLevel="0" collapsed="false">
      <c r="A109" s="19"/>
      <c r="B109" s="20"/>
      <c r="C109" s="21"/>
      <c r="D109" s="20"/>
      <c r="E109" s="22"/>
      <c r="F109" s="22"/>
      <c r="G109" s="25" t="str">
        <f aca="false">IF(E109="","",MAX(0,E109-N(F109)))</f>
        <v/>
      </c>
      <c r="H109" s="20"/>
      <c r="I109" s="20"/>
    </row>
    <row r="110" customFormat="false" ht="15" hidden="false" customHeight="false" outlineLevel="0" collapsed="false">
      <c r="A110" s="19"/>
      <c r="B110" s="20"/>
      <c r="C110" s="21"/>
      <c r="D110" s="20"/>
      <c r="E110" s="22"/>
      <c r="F110" s="22"/>
      <c r="G110" s="25" t="str">
        <f aca="false">IF(E110="","",MAX(0,E110-N(F110)))</f>
        <v/>
      </c>
      <c r="H110" s="20"/>
      <c r="I110" s="20"/>
    </row>
    <row r="111" customFormat="false" ht="15" hidden="false" customHeight="false" outlineLevel="0" collapsed="false">
      <c r="A111" s="19"/>
      <c r="B111" s="20"/>
      <c r="C111" s="21"/>
      <c r="D111" s="20"/>
      <c r="E111" s="22"/>
      <c r="F111" s="22"/>
      <c r="G111" s="25" t="str">
        <f aca="false">IF(E111="","",MAX(0,E111-N(F111)))</f>
        <v/>
      </c>
      <c r="H111" s="20"/>
      <c r="I111" s="20"/>
    </row>
    <row r="112" customFormat="false" ht="15" hidden="false" customHeight="false" outlineLevel="0" collapsed="false">
      <c r="A112" s="19"/>
      <c r="B112" s="20"/>
      <c r="C112" s="21"/>
      <c r="D112" s="20"/>
      <c r="E112" s="22"/>
      <c r="F112" s="22"/>
      <c r="G112" s="25" t="str">
        <f aca="false">IF(E112="","",MAX(0,E112-N(F112)))</f>
        <v/>
      </c>
      <c r="H112" s="20"/>
      <c r="I112" s="20"/>
    </row>
    <row r="113" customFormat="false" ht="15" hidden="false" customHeight="false" outlineLevel="0" collapsed="false">
      <c r="A113" s="19"/>
      <c r="B113" s="20"/>
      <c r="C113" s="21"/>
      <c r="D113" s="20"/>
      <c r="E113" s="22"/>
      <c r="F113" s="22"/>
      <c r="G113" s="25" t="str">
        <f aca="false">IF(E113="","",MAX(0,E113-N(F113)))</f>
        <v/>
      </c>
      <c r="H113" s="20"/>
      <c r="I113" s="20"/>
    </row>
    <row r="114" customFormat="false" ht="15" hidden="false" customHeight="false" outlineLevel="0" collapsed="false">
      <c r="A114" s="19"/>
      <c r="B114" s="20"/>
      <c r="C114" s="21"/>
      <c r="D114" s="20"/>
      <c r="E114" s="22"/>
      <c r="F114" s="22"/>
      <c r="G114" s="25" t="str">
        <f aca="false">IF(E114="","",MAX(0,E114-N(F114)))</f>
        <v/>
      </c>
      <c r="H114" s="20"/>
      <c r="I114" s="20"/>
    </row>
    <row r="115" customFormat="false" ht="15" hidden="false" customHeight="false" outlineLevel="0" collapsed="false">
      <c r="A115" s="19"/>
      <c r="B115" s="20"/>
      <c r="C115" s="21"/>
      <c r="D115" s="20"/>
      <c r="E115" s="22"/>
      <c r="F115" s="22"/>
      <c r="G115" s="25" t="str">
        <f aca="false">IF(E115="","",MAX(0,E115-N(F115)))</f>
        <v/>
      </c>
      <c r="H115" s="20"/>
      <c r="I115" s="20"/>
    </row>
    <row r="116" customFormat="false" ht="15" hidden="false" customHeight="false" outlineLevel="0" collapsed="false">
      <c r="A116" s="19"/>
      <c r="B116" s="20"/>
      <c r="C116" s="21"/>
      <c r="D116" s="20"/>
      <c r="E116" s="22"/>
      <c r="F116" s="22"/>
      <c r="G116" s="25" t="str">
        <f aca="false">IF(E116="","",MAX(0,E116-N(F116)))</f>
        <v/>
      </c>
      <c r="H116" s="20"/>
      <c r="I116" s="20"/>
    </row>
    <row r="117" customFormat="false" ht="15" hidden="false" customHeight="false" outlineLevel="0" collapsed="false">
      <c r="A117" s="19"/>
      <c r="B117" s="20"/>
      <c r="C117" s="21"/>
      <c r="D117" s="20"/>
      <c r="E117" s="22"/>
      <c r="F117" s="22"/>
      <c r="G117" s="25" t="str">
        <f aca="false">IF(E117="","",MAX(0,E117-N(F117)))</f>
        <v/>
      </c>
      <c r="H117" s="20"/>
      <c r="I117" s="20"/>
    </row>
    <row r="118" customFormat="false" ht="15" hidden="false" customHeight="false" outlineLevel="0" collapsed="false">
      <c r="A118" s="19"/>
      <c r="B118" s="20"/>
      <c r="C118" s="21"/>
      <c r="D118" s="20"/>
      <c r="E118" s="22"/>
      <c r="F118" s="22"/>
      <c r="G118" s="25" t="str">
        <f aca="false">IF(E118="","",MAX(0,E118-N(F118)))</f>
        <v/>
      </c>
      <c r="H118" s="20"/>
      <c r="I118" s="20"/>
    </row>
    <row r="119" customFormat="false" ht="15" hidden="false" customHeight="false" outlineLevel="0" collapsed="false">
      <c r="A119" s="19"/>
      <c r="B119" s="20"/>
      <c r="C119" s="21"/>
      <c r="D119" s="20"/>
      <c r="E119" s="22"/>
      <c r="F119" s="22"/>
      <c r="G119" s="25" t="str">
        <f aca="false">IF(E119="","",MAX(0,E119-N(F119)))</f>
        <v/>
      </c>
      <c r="H119" s="20"/>
      <c r="I119" s="20"/>
    </row>
    <row r="120" customFormat="false" ht="15" hidden="false" customHeight="false" outlineLevel="0" collapsed="false">
      <c r="A120" s="19"/>
      <c r="B120" s="20"/>
      <c r="C120" s="21"/>
      <c r="D120" s="20"/>
      <c r="E120" s="22"/>
      <c r="F120" s="22"/>
      <c r="G120" s="25" t="str">
        <f aca="false">IF(E120="","",MAX(0,E120-N(F120)))</f>
        <v/>
      </c>
      <c r="H120" s="20"/>
      <c r="I120" s="20"/>
    </row>
    <row r="121" customFormat="false" ht="15" hidden="false" customHeight="false" outlineLevel="0" collapsed="false">
      <c r="A121" s="19"/>
      <c r="B121" s="20"/>
      <c r="C121" s="21"/>
      <c r="D121" s="20"/>
      <c r="E121" s="22"/>
      <c r="F121" s="22"/>
      <c r="G121" s="25" t="str">
        <f aca="false">IF(E121="","",MAX(0,E121-N(F121)))</f>
        <v/>
      </c>
      <c r="H121" s="20"/>
      <c r="I121" s="20"/>
    </row>
    <row r="122" customFormat="false" ht="15" hidden="false" customHeight="false" outlineLevel="0" collapsed="false">
      <c r="A122" s="19"/>
      <c r="B122" s="20"/>
      <c r="C122" s="21"/>
      <c r="D122" s="20"/>
      <c r="E122" s="22"/>
      <c r="F122" s="22"/>
      <c r="G122" s="25" t="str">
        <f aca="false">IF(E122="","",MAX(0,E122-N(F122)))</f>
        <v/>
      </c>
      <c r="H122" s="20"/>
      <c r="I122" s="20"/>
    </row>
    <row r="123" customFormat="false" ht="15" hidden="false" customHeight="false" outlineLevel="0" collapsed="false">
      <c r="A123" s="19"/>
      <c r="B123" s="20"/>
      <c r="C123" s="21"/>
      <c r="D123" s="20"/>
      <c r="E123" s="22"/>
      <c r="F123" s="22"/>
      <c r="G123" s="25" t="str">
        <f aca="false">IF(E123="","",MAX(0,E123-N(F123)))</f>
        <v/>
      </c>
      <c r="H123" s="20"/>
      <c r="I123" s="20"/>
    </row>
    <row r="124" customFormat="false" ht="15" hidden="false" customHeight="false" outlineLevel="0" collapsed="false">
      <c r="A124" s="19"/>
      <c r="B124" s="20"/>
      <c r="C124" s="21"/>
      <c r="D124" s="20"/>
      <c r="E124" s="22"/>
      <c r="F124" s="22"/>
      <c r="G124" s="25" t="str">
        <f aca="false">IF(E124="","",MAX(0,E124-N(F124)))</f>
        <v/>
      </c>
      <c r="H124" s="20"/>
      <c r="I124" s="20"/>
    </row>
    <row r="125" customFormat="false" ht="15" hidden="false" customHeight="false" outlineLevel="0" collapsed="false">
      <c r="A125" s="19"/>
      <c r="B125" s="20"/>
      <c r="C125" s="21"/>
      <c r="D125" s="20"/>
      <c r="E125" s="22"/>
      <c r="F125" s="22"/>
      <c r="G125" s="25" t="str">
        <f aca="false">IF(E125="","",MAX(0,E125-N(F125)))</f>
        <v/>
      </c>
      <c r="H125" s="20"/>
      <c r="I125" s="20"/>
    </row>
    <row r="126" customFormat="false" ht="15" hidden="false" customHeight="false" outlineLevel="0" collapsed="false">
      <c r="A126" s="19"/>
      <c r="B126" s="20"/>
      <c r="C126" s="21"/>
      <c r="D126" s="20"/>
      <c r="E126" s="22"/>
      <c r="F126" s="22"/>
      <c r="G126" s="25" t="str">
        <f aca="false">IF(E126="","",MAX(0,E126-N(F126)))</f>
        <v/>
      </c>
      <c r="H126" s="20"/>
      <c r="I126" s="20"/>
    </row>
    <row r="127" customFormat="false" ht="15" hidden="false" customHeight="false" outlineLevel="0" collapsed="false">
      <c r="A127" s="19"/>
      <c r="B127" s="20"/>
      <c r="C127" s="21"/>
      <c r="D127" s="20"/>
      <c r="E127" s="22"/>
      <c r="F127" s="22"/>
      <c r="G127" s="25" t="str">
        <f aca="false">IF(E127="","",MAX(0,E127-N(F127)))</f>
        <v/>
      </c>
      <c r="H127" s="20"/>
      <c r="I127" s="20"/>
    </row>
    <row r="128" customFormat="false" ht="15" hidden="false" customHeight="false" outlineLevel="0" collapsed="false">
      <c r="A128" s="19"/>
      <c r="B128" s="20"/>
      <c r="C128" s="21"/>
      <c r="D128" s="20"/>
      <c r="E128" s="22"/>
      <c r="F128" s="22"/>
      <c r="G128" s="25" t="str">
        <f aca="false">IF(E128="","",MAX(0,E128-N(F128)))</f>
        <v/>
      </c>
      <c r="H128" s="20"/>
      <c r="I128" s="20"/>
    </row>
    <row r="129" customFormat="false" ht="15" hidden="false" customHeight="false" outlineLevel="0" collapsed="false">
      <c r="A129" s="19"/>
      <c r="B129" s="20"/>
      <c r="C129" s="21"/>
      <c r="D129" s="20"/>
      <c r="E129" s="22"/>
      <c r="F129" s="22"/>
      <c r="G129" s="25" t="str">
        <f aca="false">IF(E129="","",MAX(0,E129-N(F129)))</f>
        <v/>
      </c>
      <c r="H129" s="20"/>
      <c r="I129" s="20"/>
    </row>
    <row r="130" customFormat="false" ht="15" hidden="false" customHeight="false" outlineLevel="0" collapsed="false">
      <c r="A130" s="19"/>
      <c r="B130" s="20"/>
      <c r="C130" s="21"/>
      <c r="D130" s="20"/>
      <c r="E130" s="22"/>
      <c r="F130" s="22"/>
      <c r="G130" s="25" t="str">
        <f aca="false">IF(E130="","",MAX(0,E130-N(F130)))</f>
        <v/>
      </c>
      <c r="H130" s="20"/>
      <c r="I130" s="20"/>
    </row>
    <row r="131" customFormat="false" ht="15" hidden="false" customHeight="false" outlineLevel="0" collapsed="false">
      <c r="A131" s="19"/>
      <c r="B131" s="20"/>
      <c r="C131" s="21"/>
      <c r="D131" s="20"/>
      <c r="E131" s="22"/>
      <c r="F131" s="22"/>
      <c r="G131" s="25" t="str">
        <f aca="false">IF(E131="","",MAX(0,E131-N(F131)))</f>
        <v/>
      </c>
      <c r="H131" s="20"/>
      <c r="I131" s="20"/>
    </row>
    <row r="132" customFormat="false" ht="15" hidden="false" customHeight="false" outlineLevel="0" collapsed="false">
      <c r="A132" s="19"/>
      <c r="B132" s="20"/>
      <c r="C132" s="21"/>
      <c r="D132" s="20"/>
      <c r="E132" s="22"/>
      <c r="F132" s="22"/>
      <c r="G132" s="25" t="str">
        <f aca="false">IF(E132="","",MAX(0,E132-N(F132)))</f>
        <v/>
      </c>
      <c r="H132" s="20"/>
      <c r="I132" s="20"/>
    </row>
    <row r="133" customFormat="false" ht="15" hidden="false" customHeight="false" outlineLevel="0" collapsed="false">
      <c r="A133" s="19"/>
      <c r="B133" s="20"/>
      <c r="C133" s="21"/>
      <c r="D133" s="20"/>
      <c r="E133" s="22"/>
      <c r="F133" s="22"/>
      <c r="G133" s="25" t="str">
        <f aca="false">IF(E133="","",MAX(0,E133-N(F133)))</f>
        <v/>
      </c>
      <c r="H133" s="20"/>
      <c r="I133" s="20"/>
    </row>
    <row r="134" customFormat="false" ht="15" hidden="false" customHeight="false" outlineLevel="0" collapsed="false">
      <c r="A134" s="19"/>
      <c r="B134" s="20"/>
      <c r="C134" s="21"/>
      <c r="D134" s="20"/>
      <c r="E134" s="22"/>
      <c r="F134" s="22"/>
      <c r="G134" s="25" t="str">
        <f aca="false">IF(E134="","",MAX(0,E134-N(F134)))</f>
        <v/>
      </c>
      <c r="H134" s="20"/>
      <c r="I134" s="20"/>
    </row>
    <row r="135" customFormat="false" ht="15" hidden="false" customHeight="false" outlineLevel="0" collapsed="false">
      <c r="A135" s="19"/>
      <c r="B135" s="20"/>
      <c r="C135" s="21"/>
      <c r="D135" s="20"/>
      <c r="E135" s="22"/>
      <c r="F135" s="22"/>
      <c r="G135" s="25" t="str">
        <f aca="false">IF(E135="","",MAX(0,E135-N(F135)))</f>
        <v/>
      </c>
      <c r="H135" s="20"/>
      <c r="I135" s="20"/>
    </row>
    <row r="136" customFormat="false" ht="15" hidden="false" customHeight="false" outlineLevel="0" collapsed="false">
      <c r="A136" s="19"/>
      <c r="B136" s="20"/>
      <c r="C136" s="21"/>
      <c r="D136" s="20"/>
      <c r="E136" s="22"/>
      <c r="F136" s="22"/>
      <c r="G136" s="25" t="str">
        <f aca="false">IF(E136="","",MAX(0,E136-N(F136)))</f>
        <v/>
      </c>
      <c r="H136" s="20"/>
      <c r="I136" s="20"/>
    </row>
    <row r="137" customFormat="false" ht="15" hidden="false" customHeight="false" outlineLevel="0" collapsed="false">
      <c r="A137" s="19"/>
      <c r="B137" s="20"/>
      <c r="C137" s="21"/>
      <c r="D137" s="20"/>
      <c r="E137" s="22"/>
      <c r="F137" s="22"/>
      <c r="G137" s="25" t="str">
        <f aca="false">IF(E137="","",MAX(0,E137-N(F137)))</f>
        <v/>
      </c>
      <c r="H137" s="20"/>
      <c r="I137" s="20"/>
    </row>
    <row r="138" customFormat="false" ht="15" hidden="false" customHeight="false" outlineLevel="0" collapsed="false">
      <c r="A138" s="19"/>
      <c r="B138" s="20"/>
      <c r="C138" s="21"/>
      <c r="D138" s="20"/>
      <c r="E138" s="22"/>
      <c r="F138" s="22"/>
      <c r="G138" s="25" t="str">
        <f aca="false">IF(E138="","",MAX(0,E138-N(F138)))</f>
        <v/>
      </c>
      <c r="H138" s="20"/>
      <c r="I138" s="20"/>
    </row>
    <row r="139" customFormat="false" ht="15" hidden="false" customHeight="false" outlineLevel="0" collapsed="false">
      <c r="A139" s="19"/>
      <c r="B139" s="20"/>
      <c r="C139" s="21"/>
      <c r="D139" s="20"/>
      <c r="E139" s="22"/>
      <c r="F139" s="22"/>
      <c r="G139" s="25" t="str">
        <f aca="false">IF(E139="","",MAX(0,E139-N(F139)))</f>
        <v/>
      </c>
      <c r="H139" s="20"/>
      <c r="I139" s="20"/>
    </row>
    <row r="140" customFormat="false" ht="15" hidden="false" customHeight="false" outlineLevel="0" collapsed="false">
      <c r="A140" s="19"/>
      <c r="B140" s="20"/>
      <c r="C140" s="21"/>
      <c r="D140" s="20"/>
      <c r="E140" s="22"/>
      <c r="F140" s="22"/>
      <c r="G140" s="25" t="str">
        <f aca="false">IF(E140="","",MAX(0,E140-N(F140)))</f>
        <v/>
      </c>
      <c r="H140" s="20"/>
      <c r="I140" s="20"/>
    </row>
    <row r="141" customFormat="false" ht="15" hidden="false" customHeight="false" outlineLevel="0" collapsed="false">
      <c r="A141" s="19"/>
      <c r="B141" s="20"/>
      <c r="C141" s="21"/>
      <c r="D141" s="20"/>
      <c r="E141" s="22"/>
      <c r="F141" s="22"/>
      <c r="G141" s="25" t="str">
        <f aca="false">IF(E141="","",MAX(0,E141-N(F141)))</f>
        <v/>
      </c>
      <c r="H141" s="20"/>
      <c r="I141" s="20"/>
    </row>
    <row r="142" customFormat="false" ht="15" hidden="false" customHeight="false" outlineLevel="0" collapsed="false">
      <c r="A142" s="19"/>
      <c r="B142" s="20"/>
      <c r="C142" s="21"/>
      <c r="D142" s="20"/>
      <c r="E142" s="22"/>
      <c r="F142" s="22"/>
      <c r="G142" s="25" t="str">
        <f aca="false">IF(E142="","",MAX(0,E142-N(F142)))</f>
        <v/>
      </c>
      <c r="H142" s="20"/>
      <c r="I142" s="20"/>
    </row>
    <row r="143" customFormat="false" ht="15" hidden="false" customHeight="false" outlineLevel="0" collapsed="false">
      <c r="A143" s="19"/>
      <c r="B143" s="20"/>
      <c r="C143" s="21"/>
      <c r="D143" s="20"/>
      <c r="E143" s="22"/>
      <c r="F143" s="22"/>
      <c r="G143" s="25" t="str">
        <f aca="false">IF(E143="","",MAX(0,E143-N(F143)))</f>
        <v/>
      </c>
      <c r="H143" s="20"/>
      <c r="I143" s="20"/>
    </row>
    <row r="144" customFormat="false" ht="15" hidden="false" customHeight="false" outlineLevel="0" collapsed="false">
      <c r="A144" s="19"/>
      <c r="B144" s="20"/>
      <c r="C144" s="21"/>
      <c r="D144" s="20"/>
      <c r="E144" s="22"/>
      <c r="F144" s="22"/>
      <c r="G144" s="25" t="str">
        <f aca="false">IF(E144="","",MAX(0,E144-N(F144)))</f>
        <v/>
      </c>
      <c r="H144" s="20"/>
      <c r="I144" s="20"/>
    </row>
    <row r="145" customFormat="false" ht="15" hidden="false" customHeight="false" outlineLevel="0" collapsed="false">
      <c r="A145" s="19"/>
      <c r="B145" s="20"/>
      <c r="C145" s="21"/>
      <c r="D145" s="20"/>
      <c r="E145" s="22"/>
      <c r="F145" s="22"/>
      <c r="G145" s="25" t="str">
        <f aca="false">IF(E145="","",MAX(0,E145-N(F145)))</f>
        <v/>
      </c>
      <c r="H145" s="20"/>
      <c r="I145" s="20"/>
    </row>
    <row r="146" customFormat="false" ht="15" hidden="false" customHeight="false" outlineLevel="0" collapsed="false">
      <c r="A146" s="19"/>
      <c r="B146" s="20"/>
      <c r="C146" s="21"/>
      <c r="D146" s="20"/>
      <c r="E146" s="22"/>
      <c r="F146" s="22"/>
      <c r="G146" s="25" t="str">
        <f aca="false">IF(E146="","",MAX(0,E146-N(F146)))</f>
        <v/>
      </c>
      <c r="H146" s="20"/>
      <c r="I146" s="20"/>
    </row>
    <row r="147" customFormat="false" ht="15" hidden="false" customHeight="false" outlineLevel="0" collapsed="false">
      <c r="A147" s="19"/>
      <c r="B147" s="20"/>
      <c r="C147" s="21"/>
      <c r="D147" s="20"/>
      <c r="E147" s="22"/>
      <c r="F147" s="22"/>
      <c r="G147" s="25" t="str">
        <f aca="false">IF(E147="","",MAX(0,E147-N(F147)))</f>
        <v/>
      </c>
      <c r="H147" s="20"/>
      <c r="I147" s="20"/>
    </row>
    <row r="148" customFormat="false" ht="15" hidden="false" customHeight="false" outlineLevel="0" collapsed="false">
      <c r="A148" s="19"/>
      <c r="B148" s="20"/>
      <c r="C148" s="21"/>
      <c r="D148" s="20"/>
      <c r="E148" s="22"/>
      <c r="F148" s="22"/>
      <c r="G148" s="25" t="str">
        <f aca="false">IF(E148="","",MAX(0,E148-N(F148)))</f>
        <v/>
      </c>
      <c r="H148" s="20"/>
      <c r="I148" s="20"/>
    </row>
    <row r="149" customFormat="false" ht="15" hidden="false" customHeight="false" outlineLevel="0" collapsed="false">
      <c r="A149" s="19"/>
      <c r="B149" s="20"/>
      <c r="C149" s="21"/>
      <c r="D149" s="20"/>
      <c r="E149" s="22"/>
      <c r="F149" s="22"/>
      <c r="G149" s="25" t="str">
        <f aca="false">IF(E149="","",MAX(0,E149-N(F149)))</f>
        <v/>
      </c>
      <c r="H149" s="20"/>
      <c r="I149" s="20"/>
    </row>
    <row r="150" customFormat="false" ht="15" hidden="false" customHeight="false" outlineLevel="0" collapsed="false">
      <c r="A150" s="19"/>
      <c r="B150" s="20"/>
      <c r="C150" s="21"/>
      <c r="D150" s="20"/>
      <c r="E150" s="22"/>
      <c r="F150" s="22"/>
      <c r="G150" s="25" t="str">
        <f aca="false">IF(E150="","",MAX(0,E150-N(F150)))</f>
        <v/>
      </c>
      <c r="H150" s="20"/>
      <c r="I150" s="20"/>
    </row>
    <row r="151" customFormat="false" ht="15" hidden="false" customHeight="false" outlineLevel="0" collapsed="false">
      <c r="A151" s="19"/>
      <c r="B151" s="20"/>
      <c r="C151" s="21"/>
      <c r="D151" s="20"/>
      <c r="E151" s="22"/>
      <c r="F151" s="22"/>
      <c r="G151" s="25" t="str">
        <f aca="false">IF(E151="","",MAX(0,E151-N(F151)))</f>
        <v/>
      </c>
      <c r="H151" s="20"/>
      <c r="I151" s="20"/>
    </row>
    <row r="152" customFormat="false" ht="15" hidden="false" customHeight="false" outlineLevel="0" collapsed="false">
      <c r="A152" s="19"/>
      <c r="B152" s="20"/>
      <c r="C152" s="21"/>
      <c r="D152" s="20"/>
      <c r="E152" s="22"/>
      <c r="F152" s="22"/>
      <c r="G152" s="25" t="str">
        <f aca="false">IF(E152="","",MAX(0,E152-N(F152)))</f>
        <v/>
      </c>
      <c r="H152" s="20"/>
      <c r="I152" s="20"/>
    </row>
    <row r="153" customFormat="false" ht="15" hidden="false" customHeight="false" outlineLevel="0" collapsed="false">
      <c r="A153" s="19"/>
      <c r="B153" s="20"/>
      <c r="C153" s="21"/>
      <c r="D153" s="20"/>
      <c r="E153" s="22"/>
      <c r="F153" s="22"/>
      <c r="G153" s="25" t="str">
        <f aca="false">IF(E153="","",MAX(0,E153-N(F153)))</f>
        <v/>
      </c>
      <c r="H153" s="20"/>
      <c r="I153" s="20"/>
    </row>
    <row r="154" customFormat="false" ht="15" hidden="false" customHeight="false" outlineLevel="0" collapsed="false">
      <c r="A154" s="19"/>
      <c r="B154" s="20"/>
      <c r="C154" s="21"/>
      <c r="D154" s="20"/>
      <c r="E154" s="22"/>
      <c r="F154" s="22"/>
      <c r="G154" s="25" t="str">
        <f aca="false">IF(E154="","",MAX(0,E154-N(F154)))</f>
        <v/>
      </c>
      <c r="H154" s="20"/>
      <c r="I154" s="20"/>
    </row>
    <row r="155" customFormat="false" ht="15" hidden="false" customHeight="false" outlineLevel="0" collapsed="false">
      <c r="A155" s="19"/>
      <c r="B155" s="20"/>
      <c r="C155" s="21"/>
      <c r="D155" s="20"/>
      <c r="E155" s="22"/>
      <c r="F155" s="22"/>
      <c r="G155" s="25" t="str">
        <f aca="false">IF(E155="","",MAX(0,E155-N(F155)))</f>
        <v/>
      </c>
      <c r="H155" s="20"/>
      <c r="I155" s="20"/>
    </row>
    <row r="156" customFormat="false" ht="15" hidden="false" customHeight="false" outlineLevel="0" collapsed="false">
      <c r="A156" s="19"/>
      <c r="B156" s="20"/>
      <c r="C156" s="21"/>
      <c r="D156" s="20"/>
      <c r="E156" s="22"/>
      <c r="F156" s="22"/>
      <c r="G156" s="25" t="str">
        <f aca="false">IF(E156="","",MAX(0,E156-N(F156)))</f>
        <v/>
      </c>
      <c r="H156" s="20"/>
      <c r="I156" s="20"/>
    </row>
    <row r="157" customFormat="false" ht="15" hidden="false" customHeight="false" outlineLevel="0" collapsed="false">
      <c r="A157" s="19"/>
      <c r="B157" s="20"/>
      <c r="C157" s="21"/>
      <c r="D157" s="20"/>
      <c r="E157" s="22"/>
      <c r="F157" s="22"/>
      <c r="G157" s="25" t="str">
        <f aca="false">IF(E157="","",MAX(0,E157-N(F157)))</f>
        <v/>
      </c>
      <c r="H157" s="20"/>
      <c r="I157" s="20"/>
    </row>
    <row r="158" customFormat="false" ht="15" hidden="false" customHeight="false" outlineLevel="0" collapsed="false">
      <c r="A158" s="19"/>
      <c r="B158" s="20"/>
      <c r="C158" s="21"/>
      <c r="D158" s="20"/>
      <c r="E158" s="22"/>
      <c r="F158" s="22"/>
      <c r="G158" s="25" t="str">
        <f aca="false">IF(E158="","",MAX(0,E158-N(F158)))</f>
        <v/>
      </c>
      <c r="H158" s="20"/>
      <c r="I158" s="20"/>
    </row>
    <row r="159" customFormat="false" ht="15" hidden="false" customHeight="false" outlineLevel="0" collapsed="false">
      <c r="A159" s="19"/>
      <c r="B159" s="20"/>
      <c r="C159" s="21"/>
      <c r="D159" s="20"/>
      <c r="E159" s="22"/>
      <c r="F159" s="22"/>
      <c r="G159" s="25" t="str">
        <f aca="false">IF(E159="","",MAX(0,E159-N(F159)))</f>
        <v/>
      </c>
      <c r="H159" s="20"/>
      <c r="I159" s="20"/>
    </row>
    <row r="160" customFormat="false" ht="15" hidden="false" customHeight="false" outlineLevel="0" collapsed="false">
      <c r="A160" s="19"/>
      <c r="B160" s="20"/>
      <c r="C160" s="21"/>
      <c r="D160" s="20"/>
      <c r="E160" s="22"/>
      <c r="F160" s="22"/>
      <c r="G160" s="25" t="str">
        <f aca="false">IF(E160="","",MAX(0,E160-N(F160)))</f>
        <v/>
      </c>
      <c r="H160" s="20"/>
      <c r="I160" s="20"/>
    </row>
    <row r="161" customFormat="false" ht="15" hidden="false" customHeight="false" outlineLevel="0" collapsed="false">
      <c r="A161" s="19"/>
      <c r="B161" s="20"/>
      <c r="C161" s="21"/>
      <c r="D161" s="20"/>
      <c r="E161" s="22"/>
      <c r="F161" s="22"/>
      <c r="G161" s="25" t="str">
        <f aca="false">IF(E161="","",MAX(0,E161-N(F161)))</f>
        <v/>
      </c>
      <c r="H161" s="20"/>
      <c r="I161" s="20"/>
    </row>
    <row r="162" customFormat="false" ht="15" hidden="false" customHeight="false" outlineLevel="0" collapsed="false">
      <c r="A162" s="19"/>
      <c r="B162" s="20"/>
      <c r="C162" s="21"/>
      <c r="D162" s="20"/>
      <c r="E162" s="22"/>
      <c r="F162" s="22"/>
      <c r="G162" s="25" t="str">
        <f aca="false">IF(E162="","",MAX(0,E162-N(F162)))</f>
        <v/>
      </c>
      <c r="H162" s="20"/>
      <c r="I162" s="20"/>
    </row>
    <row r="163" customFormat="false" ht="15" hidden="false" customHeight="false" outlineLevel="0" collapsed="false">
      <c r="A163" s="19"/>
      <c r="B163" s="20"/>
      <c r="C163" s="21"/>
      <c r="D163" s="20"/>
      <c r="E163" s="22"/>
      <c r="F163" s="22"/>
      <c r="G163" s="25" t="str">
        <f aca="false">IF(E163="","",MAX(0,E163-N(F163)))</f>
        <v/>
      </c>
      <c r="H163" s="20"/>
      <c r="I163" s="20"/>
    </row>
    <row r="164" customFormat="false" ht="15" hidden="false" customHeight="false" outlineLevel="0" collapsed="false">
      <c r="A164" s="19"/>
      <c r="B164" s="20"/>
      <c r="C164" s="21"/>
      <c r="D164" s="20"/>
      <c r="E164" s="22"/>
      <c r="F164" s="22"/>
      <c r="G164" s="25" t="str">
        <f aca="false">IF(E164="","",MAX(0,E164-N(F164)))</f>
        <v/>
      </c>
      <c r="H164" s="20"/>
      <c r="I164" s="20"/>
    </row>
    <row r="165" customFormat="false" ht="15" hidden="false" customHeight="false" outlineLevel="0" collapsed="false">
      <c r="A165" s="19"/>
      <c r="B165" s="20"/>
      <c r="C165" s="21"/>
      <c r="D165" s="20"/>
      <c r="E165" s="22"/>
      <c r="F165" s="22"/>
      <c r="G165" s="25" t="str">
        <f aca="false">IF(E165="","",MAX(0,E165-N(F165)))</f>
        <v/>
      </c>
      <c r="H165" s="20"/>
      <c r="I165" s="20"/>
    </row>
    <row r="166" customFormat="false" ht="15" hidden="false" customHeight="false" outlineLevel="0" collapsed="false">
      <c r="A166" s="19"/>
      <c r="B166" s="20"/>
      <c r="C166" s="21"/>
      <c r="D166" s="20"/>
      <c r="E166" s="22"/>
      <c r="F166" s="22"/>
      <c r="G166" s="25" t="str">
        <f aca="false">IF(E166="","",MAX(0,E166-N(F166)))</f>
        <v/>
      </c>
      <c r="H166" s="20"/>
      <c r="I166" s="20"/>
    </row>
    <row r="167" customFormat="false" ht="15" hidden="false" customHeight="false" outlineLevel="0" collapsed="false">
      <c r="A167" s="19"/>
      <c r="B167" s="20"/>
      <c r="C167" s="21"/>
      <c r="D167" s="20"/>
      <c r="E167" s="22"/>
      <c r="F167" s="22"/>
      <c r="G167" s="25" t="str">
        <f aca="false">IF(E167="","",MAX(0,E167-N(F167)))</f>
        <v/>
      </c>
      <c r="H167" s="20"/>
      <c r="I167" s="20"/>
    </row>
    <row r="168" customFormat="false" ht="15" hidden="false" customHeight="false" outlineLevel="0" collapsed="false">
      <c r="A168" s="19"/>
      <c r="B168" s="20"/>
      <c r="C168" s="21"/>
      <c r="D168" s="20"/>
      <c r="E168" s="22"/>
      <c r="F168" s="22"/>
      <c r="G168" s="25" t="str">
        <f aca="false">IF(E168="","",MAX(0,E168-N(F168)))</f>
        <v/>
      </c>
      <c r="H168" s="20"/>
      <c r="I168" s="20"/>
    </row>
    <row r="169" customFormat="false" ht="15" hidden="false" customHeight="false" outlineLevel="0" collapsed="false">
      <c r="A169" s="19"/>
      <c r="B169" s="20"/>
      <c r="C169" s="21"/>
      <c r="D169" s="20"/>
      <c r="E169" s="22"/>
      <c r="F169" s="22"/>
      <c r="G169" s="25" t="str">
        <f aca="false">IF(E169="","",MAX(0,E169-N(F169)))</f>
        <v/>
      </c>
      <c r="H169" s="20"/>
      <c r="I169" s="20"/>
    </row>
    <row r="170" customFormat="false" ht="15" hidden="false" customHeight="false" outlineLevel="0" collapsed="false">
      <c r="A170" s="19"/>
      <c r="B170" s="20"/>
      <c r="C170" s="21"/>
      <c r="D170" s="20"/>
      <c r="E170" s="22"/>
      <c r="F170" s="22"/>
      <c r="G170" s="25" t="str">
        <f aca="false">IF(E170="","",MAX(0,E170-N(F170)))</f>
        <v/>
      </c>
      <c r="H170" s="20"/>
      <c r="I170" s="20"/>
    </row>
    <row r="171" customFormat="false" ht="15" hidden="false" customHeight="false" outlineLevel="0" collapsed="false">
      <c r="A171" s="19"/>
      <c r="B171" s="20"/>
      <c r="C171" s="21"/>
      <c r="D171" s="20"/>
      <c r="E171" s="22"/>
      <c r="F171" s="22"/>
      <c r="G171" s="25" t="str">
        <f aca="false">IF(E171="","",MAX(0,E171-N(F171)))</f>
        <v/>
      </c>
      <c r="H171" s="20"/>
      <c r="I171" s="20"/>
    </row>
    <row r="172" customFormat="false" ht="15" hidden="false" customHeight="false" outlineLevel="0" collapsed="false">
      <c r="A172" s="19"/>
      <c r="B172" s="20"/>
      <c r="C172" s="21"/>
      <c r="D172" s="20"/>
      <c r="E172" s="22"/>
      <c r="F172" s="22"/>
      <c r="G172" s="25" t="str">
        <f aca="false">IF(E172="","",MAX(0,E172-N(F172)))</f>
        <v/>
      </c>
      <c r="H172" s="20"/>
      <c r="I172" s="20"/>
    </row>
    <row r="173" customFormat="false" ht="15" hidden="false" customHeight="false" outlineLevel="0" collapsed="false">
      <c r="A173" s="19"/>
      <c r="B173" s="20"/>
      <c r="C173" s="21"/>
      <c r="D173" s="20"/>
      <c r="E173" s="22"/>
      <c r="F173" s="22"/>
      <c r="G173" s="25" t="str">
        <f aca="false">IF(E173="","",MAX(0,E173-N(F173)))</f>
        <v/>
      </c>
      <c r="H173" s="20"/>
      <c r="I173" s="20"/>
    </row>
    <row r="174" customFormat="false" ht="15" hidden="false" customHeight="false" outlineLevel="0" collapsed="false">
      <c r="A174" s="19"/>
      <c r="B174" s="20"/>
      <c r="C174" s="21"/>
      <c r="D174" s="20"/>
      <c r="E174" s="22"/>
      <c r="F174" s="22"/>
      <c r="G174" s="25" t="str">
        <f aca="false">IF(E174="","",MAX(0,E174-N(F174)))</f>
        <v/>
      </c>
      <c r="H174" s="20"/>
      <c r="I174" s="20"/>
    </row>
    <row r="175" customFormat="false" ht="15" hidden="false" customHeight="false" outlineLevel="0" collapsed="false">
      <c r="A175" s="19"/>
      <c r="B175" s="20"/>
      <c r="C175" s="21"/>
      <c r="D175" s="20"/>
      <c r="E175" s="22"/>
      <c r="F175" s="22"/>
      <c r="G175" s="25" t="str">
        <f aca="false">IF(E175="","",MAX(0,E175-N(F175)))</f>
        <v/>
      </c>
      <c r="H175" s="20"/>
      <c r="I175" s="20"/>
    </row>
    <row r="176" customFormat="false" ht="15" hidden="false" customHeight="false" outlineLevel="0" collapsed="false">
      <c r="A176" s="19"/>
      <c r="B176" s="20"/>
      <c r="C176" s="21"/>
      <c r="D176" s="20"/>
      <c r="E176" s="22"/>
      <c r="F176" s="22"/>
      <c r="G176" s="25" t="str">
        <f aca="false">IF(E176="","",MAX(0,E176-N(F176)))</f>
        <v/>
      </c>
      <c r="H176" s="20"/>
      <c r="I176" s="20"/>
    </row>
    <row r="177" customFormat="false" ht="15" hidden="false" customHeight="false" outlineLevel="0" collapsed="false">
      <c r="A177" s="19"/>
      <c r="B177" s="20"/>
      <c r="C177" s="21"/>
      <c r="D177" s="20"/>
      <c r="E177" s="22"/>
      <c r="F177" s="22"/>
      <c r="G177" s="25" t="str">
        <f aca="false">IF(E177="","",MAX(0,E177-N(F177)))</f>
        <v/>
      </c>
      <c r="H177" s="20"/>
      <c r="I177" s="20"/>
    </row>
    <row r="178" customFormat="false" ht="15" hidden="false" customHeight="false" outlineLevel="0" collapsed="false">
      <c r="A178" s="19"/>
      <c r="B178" s="20"/>
      <c r="C178" s="21"/>
      <c r="D178" s="20"/>
      <c r="E178" s="22"/>
      <c r="F178" s="22"/>
      <c r="G178" s="25" t="str">
        <f aca="false">IF(E178="","",MAX(0,E178-N(F178)))</f>
        <v/>
      </c>
      <c r="H178" s="20"/>
      <c r="I178" s="20"/>
    </row>
    <row r="179" customFormat="false" ht="15" hidden="false" customHeight="false" outlineLevel="0" collapsed="false">
      <c r="A179" s="19"/>
      <c r="B179" s="20"/>
      <c r="C179" s="21"/>
      <c r="D179" s="20"/>
      <c r="E179" s="22"/>
      <c r="F179" s="22"/>
      <c r="G179" s="25" t="str">
        <f aca="false">IF(E179="","",MAX(0,E179-N(F179)))</f>
        <v/>
      </c>
      <c r="H179" s="20"/>
      <c r="I179" s="20"/>
    </row>
    <row r="180" customFormat="false" ht="15" hidden="false" customHeight="false" outlineLevel="0" collapsed="false">
      <c r="A180" s="19"/>
      <c r="B180" s="20"/>
      <c r="C180" s="21"/>
      <c r="D180" s="20"/>
      <c r="E180" s="22"/>
      <c r="F180" s="22"/>
      <c r="G180" s="25" t="str">
        <f aca="false">IF(E180="","",MAX(0,E180-N(F180)))</f>
        <v/>
      </c>
      <c r="H180" s="20"/>
      <c r="I180" s="20"/>
    </row>
    <row r="181" customFormat="false" ht="15" hidden="false" customHeight="false" outlineLevel="0" collapsed="false">
      <c r="A181" s="19"/>
      <c r="B181" s="20"/>
      <c r="C181" s="21"/>
      <c r="D181" s="20"/>
      <c r="E181" s="22"/>
      <c r="F181" s="22"/>
      <c r="G181" s="25" t="str">
        <f aca="false">IF(E181="","",MAX(0,E181-N(F181)))</f>
        <v/>
      </c>
      <c r="H181" s="20"/>
      <c r="I181" s="20"/>
    </row>
    <row r="182" customFormat="false" ht="15" hidden="false" customHeight="false" outlineLevel="0" collapsed="false">
      <c r="A182" s="19"/>
      <c r="B182" s="20"/>
      <c r="C182" s="21"/>
      <c r="D182" s="20"/>
      <c r="E182" s="22"/>
      <c r="F182" s="22"/>
      <c r="G182" s="25" t="str">
        <f aca="false">IF(E182="","",MAX(0,E182-N(F182)))</f>
        <v/>
      </c>
      <c r="H182" s="20"/>
      <c r="I182" s="20"/>
    </row>
    <row r="183" customFormat="false" ht="15" hidden="false" customHeight="false" outlineLevel="0" collapsed="false">
      <c r="A183" s="19"/>
      <c r="B183" s="20"/>
      <c r="C183" s="21"/>
      <c r="D183" s="20"/>
      <c r="E183" s="22"/>
      <c r="F183" s="22"/>
      <c r="G183" s="25" t="str">
        <f aca="false">IF(E183="","",MAX(0,E183-N(F183)))</f>
        <v/>
      </c>
      <c r="H183" s="20"/>
      <c r="I183" s="20"/>
    </row>
    <row r="184" customFormat="false" ht="15" hidden="false" customHeight="false" outlineLevel="0" collapsed="false">
      <c r="A184" s="19"/>
      <c r="B184" s="20"/>
      <c r="C184" s="21"/>
      <c r="D184" s="20"/>
      <c r="E184" s="22"/>
      <c r="F184" s="22"/>
      <c r="G184" s="25" t="str">
        <f aca="false">IF(E184="","",MAX(0,E184-N(F184)))</f>
        <v/>
      </c>
      <c r="H184" s="20"/>
      <c r="I184" s="20"/>
    </row>
    <row r="185" customFormat="false" ht="15" hidden="false" customHeight="false" outlineLevel="0" collapsed="false">
      <c r="A185" s="19"/>
      <c r="B185" s="20"/>
      <c r="C185" s="21"/>
      <c r="D185" s="20"/>
      <c r="E185" s="22"/>
      <c r="F185" s="22"/>
      <c r="G185" s="25" t="str">
        <f aca="false">IF(E185="","",MAX(0,E185-N(F185)))</f>
        <v/>
      </c>
      <c r="H185" s="20"/>
      <c r="I185" s="20"/>
    </row>
    <row r="186" customFormat="false" ht="15" hidden="false" customHeight="false" outlineLevel="0" collapsed="false">
      <c r="A186" s="19"/>
      <c r="B186" s="20"/>
      <c r="C186" s="21"/>
      <c r="D186" s="20"/>
      <c r="E186" s="22"/>
      <c r="F186" s="22"/>
      <c r="G186" s="25" t="str">
        <f aca="false">IF(E186="","",MAX(0,E186-N(F186)))</f>
        <v/>
      </c>
      <c r="H186" s="20"/>
      <c r="I186" s="20"/>
    </row>
    <row r="187" customFormat="false" ht="15" hidden="false" customHeight="false" outlineLevel="0" collapsed="false">
      <c r="A187" s="19"/>
      <c r="B187" s="20"/>
      <c r="C187" s="21"/>
      <c r="D187" s="20"/>
      <c r="E187" s="22"/>
      <c r="F187" s="22"/>
      <c r="G187" s="25" t="str">
        <f aca="false">IF(E187="","",MAX(0,E187-N(F187)))</f>
        <v/>
      </c>
      <c r="H187" s="20"/>
      <c r="I187" s="20"/>
    </row>
    <row r="188" customFormat="false" ht="15" hidden="false" customHeight="false" outlineLevel="0" collapsed="false">
      <c r="A188" s="19"/>
      <c r="B188" s="20"/>
      <c r="C188" s="21"/>
      <c r="D188" s="20"/>
      <c r="E188" s="22"/>
      <c r="F188" s="22"/>
      <c r="G188" s="25" t="str">
        <f aca="false">IF(E188="","",MAX(0,E188-N(F188)))</f>
        <v/>
      </c>
      <c r="H188" s="20"/>
      <c r="I188" s="20"/>
    </row>
    <row r="189" customFormat="false" ht="15" hidden="false" customHeight="false" outlineLevel="0" collapsed="false">
      <c r="A189" s="19"/>
      <c r="B189" s="20"/>
      <c r="C189" s="21"/>
      <c r="D189" s="20"/>
      <c r="E189" s="22"/>
      <c r="F189" s="22"/>
      <c r="G189" s="25" t="str">
        <f aca="false">IF(E189="","",MAX(0,E189-N(F189)))</f>
        <v/>
      </c>
      <c r="H189" s="20"/>
      <c r="I189" s="20"/>
    </row>
    <row r="190" customFormat="false" ht="15" hidden="false" customHeight="false" outlineLevel="0" collapsed="false">
      <c r="A190" s="19"/>
      <c r="B190" s="20"/>
      <c r="C190" s="21"/>
      <c r="D190" s="20"/>
      <c r="E190" s="22"/>
      <c r="F190" s="22"/>
      <c r="G190" s="25" t="str">
        <f aca="false">IF(E190="","",MAX(0,E190-N(F190)))</f>
        <v/>
      </c>
      <c r="H190" s="20"/>
      <c r="I190" s="20"/>
    </row>
    <row r="191" customFormat="false" ht="15" hidden="false" customHeight="false" outlineLevel="0" collapsed="false">
      <c r="A191" s="19"/>
      <c r="B191" s="20"/>
      <c r="C191" s="21"/>
      <c r="D191" s="20"/>
      <c r="E191" s="22"/>
      <c r="F191" s="22"/>
      <c r="G191" s="25" t="str">
        <f aca="false">IF(E191="","",MAX(0,E191-N(F191)))</f>
        <v/>
      </c>
      <c r="H191" s="20"/>
      <c r="I191" s="20"/>
    </row>
    <row r="192" customFormat="false" ht="15" hidden="false" customHeight="false" outlineLevel="0" collapsed="false">
      <c r="A192" s="19"/>
      <c r="B192" s="20"/>
      <c r="C192" s="21"/>
      <c r="D192" s="20"/>
      <c r="E192" s="22"/>
      <c r="F192" s="22"/>
      <c r="G192" s="25" t="str">
        <f aca="false">IF(E192="","",MAX(0,E192-N(F192)))</f>
        <v/>
      </c>
      <c r="H192" s="20"/>
      <c r="I192" s="20"/>
    </row>
    <row r="193" customFormat="false" ht="15" hidden="false" customHeight="false" outlineLevel="0" collapsed="false">
      <c r="A193" s="19"/>
      <c r="B193" s="20"/>
      <c r="C193" s="21"/>
      <c r="D193" s="20"/>
      <c r="E193" s="22"/>
      <c r="F193" s="22"/>
      <c r="G193" s="25" t="str">
        <f aca="false">IF(E193="","",MAX(0,E193-N(F193)))</f>
        <v/>
      </c>
      <c r="H193" s="20"/>
      <c r="I193" s="20"/>
    </row>
    <row r="194" customFormat="false" ht="15" hidden="false" customHeight="false" outlineLevel="0" collapsed="false">
      <c r="A194" s="19"/>
      <c r="B194" s="20"/>
      <c r="C194" s="21"/>
      <c r="D194" s="20"/>
      <c r="E194" s="22"/>
      <c r="F194" s="22"/>
      <c r="G194" s="25" t="str">
        <f aca="false">IF(E194="","",MAX(0,E194-N(F194)))</f>
        <v/>
      </c>
      <c r="H194" s="20"/>
      <c r="I194" s="20"/>
    </row>
    <row r="195" customFormat="false" ht="15" hidden="false" customHeight="false" outlineLevel="0" collapsed="false">
      <c r="A195" s="19"/>
      <c r="B195" s="20"/>
      <c r="C195" s="21"/>
      <c r="D195" s="20"/>
      <c r="E195" s="22"/>
      <c r="F195" s="22"/>
      <c r="G195" s="25" t="str">
        <f aca="false">IF(E195="","",MAX(0,E195-N(F195)))</f>
        <v/>
      </c>
      <c r="H195" s="20"/>
      <c r="I195" s="20"/>
    </row>
    <row r="196" customFormat="false" ht="15" hidden="false" customHeight="false" outlineLevel="0" collapsed="false">
      <c r="A196" s="19"/>
      <c r="B196" s="20"/>
      <c r="C196" s="21"/>
      <c r="D196" s="20"/>
      <c r="E196" s="22"/>
      <c r="F196" s="22"/>
      <c r="G196" s="25" t="str">
        <f aca="false">IF(E196="","",MAX(0,E196-N(F196)))</f>
        <v/>
      </c>
      <c r="H196" s="20"/>
      <c r="I196" s="20"/>
    </row>
    <row r="197" customFormat="false" ht="15" hidden="false" customHeight="false" outlineLevel="0" collapsed="false">
      <c r="A197" s="19"/>
      <c r="B197" s="20"/>
      <c r="C197" s="21"/>
      <c r="D197" s="20"/>
      <c r="E197" s="22"/>
      <c r="F197" s="22"/>
      <c r="G197" s="25" t="str">
        <f aca="false">IF(E197="","",MAX(0,E197-N(F197)))</f>
        <v/>
      </c>
      <c r="H197" s="20"/>
      <c r="I197" s="20"/>
    </row>
    <row r="198" customFormat="false" ht="15" hidden="false" customHeight="false" outlineLevel="0" collapsed="false">
      <c r="A198" s="19"/>
      <c r="B198" s="20"/>
      <c r="C198" s="21"/>
      <c r="D198" s="20"/>
      <c r="E198" s="22"/>
      <c r="F198" s="22"/>
      <c r="G198" s="25" t="str">
        <f aca="false">IF(E198="","",MAX(0,E198-N(F198)))</f>
        <v/>
      </c>
      <c r="H198" s="20"/>
      <c r="I198" s="20"/>
    </row>
    <row r="199" customFormat="false" ht="15" hidden="false" customHeight="false" outlineLevel="0" collapsed="false">
      <c r="A199" s="19"/>
      <c r="B199" s="20"/>
      <c r="C199" s="21"/>
      <c r="D199" s="20"/>
      <c r="E199" s="22"/>
      <c r="F199" s="22"/>
      <c r="G199" s="25" t="str">
        <f aca="false">IF(E199="","",MAX(0,E199-N(F199)))</f>
        <v/>
      </c>
      <c r="H199" s="20"/>
      <c r="I199" s="20"/>
    </row>
    <row r="200" customFormat="false" ht="15" hidden="false" customHeight="false" outlineLevel="0" collapsed="false">
      <c r="A200" s="19"/>
      <c r="B200" s="20"/>
      <c r="C200" s="21"/>
      <c r="D200" s="20"/>
      <c r="E200" s="22"/>
      <c r="F200" s="22"/>
      <c r="G200" s="25" t="str">
        <f aca="false">IF(E200="","",MAX(0,E200-N(F200)))</f>
        <v/>
      </c>
      <c r="H200" s="20"/>
      <c r="I200" s="20"/>
    </row>
    <row r="201" customFormat="false" ht="15" hidden="false" customHeight="false" outlineLevel="0" collapsed="false">
      <c r="A201" s="19"/>
      <c r="B201" s="20"/>
      <c r="C201" s="21"/>
      <c r="D201" s="20"/>
      <c r="E201" s="22"/>
      <c r="F201" s="22"/>
      <c r="G201" s="25" t="str">
        <f aca="false">IF(E201="","",MAX(0,E201-N(F201)))</f>
        <v/>
      </c>
      <c r="H201" s="20"/>
      <c r="I201" s="20"/>
    </row>
    <row r="202" customFormat="false" ht="15" hidden="false" customHeight="false" outlineLevel="0" collapsed="false">
      <c r="A202" s="19"/>
      <c r="B202" s="20"/>
      <c r="C202" s="21"/>
      <c r="D202" s="20"/>
      <c r="E202" s="22"/>
      <c r="F202" s="22"/>
      <c r="G202" s="25" t="str">
        <f aca="false">IF(E202="","",MAX(0,E202-N(F202)))</f>
        <v/>
      </c>
      <c r="H202" s="20"/>
      <c r="I202" s="20"/>
    </row>
    <row r="203" customFormat="false" ht="15" hidden="false" customHeight="false" outlineLevel="0" collapsed="false">
      <c r="A203" s="19"/>
      <c r="B203" s="20"/>
      <c r="C203" s="21"/>
      <c r="D203" s="20"/>
      <c r="E203" s="22"/>
      <c r="F203" s="22"/>
      <c r="G203" s="25" t="str">
        <f aca="false">IF(E203="","",MAX(0,E203-N(F203)))</f>
        <v/>
      </c>
      <c r="H203" s="20"/>
      <c r="I203" s="20"/>
    </row>
    <row r="204" customFormat="false" ht="15" hidden="false" customHeight="false" outlineLevel="0" collapsed="false">
      <c r="A204" s="19"/>
      <c r="B204" s="20"/>
      <c r="C204" s="21"/>
      <c r="D204" s="20"/>
      <c r="E204" s="22"/>
      <c r="F204" s="22"/>
      <c r="G204" s="25" t="str">
        <f aca="false">IF(E204="","",MAX(0,E204-N(F204)))</f>
        <v/>
      </c>
      <c r="H204" s="20"/>
      <c r="I204" s="20"/>
    </row>
  </sheetData>
  <autoFilter ref="A4:I204"/>
  <conditionalFormatting sqref="A5:I204">
    <cfRule type="expression" priority="2" aboveAverage="0" equalAverage="0" bottom="0" percent="0" rank="0" text="" dxfId="7">
      <formula>AND($E5&lt;&gt;"",OR($B5="",$C5="",$D5=""))</formula>
    </cfRule>
  </conditionalFormatting>
  <conditionalFormatting sqref="F5:F204">
    <cfRule type="expression" priority="3" aboveAverage="0" equalAverage="0" bottom="0" percent="0" rank="0" text="" dxfId="8">
      <formula>N($F5)&gt;N($E5)</formula>
    </cfRule>
  </conditionalFormatting>
  <dataValidations count="4">
    <dataValidation allowBlank="true" error="Informe um número maior ou igual a zero." errorStyle="stop" errorTitle="Valor inválido" operator="greaterThanOrEqual" showDropDown="false" showErrorMessage="true" showInputMessage="false" sqref="E5:F204" type="decimal">
      <formula1>0</formula1>
      <formula2>0</formula2>
    </dataValidation>
    <dataValidation allowBlank="true" error="Informe uma data dentro do ano-calendário definido em Config (dd/mm/aaaa)." errorStyle="stop" errorTitle="Data fora do ano-calendário" operator="between" showDropDown="false" showErrorMessage="true" showInputMessage="false" sqref="A5:A204" type="date">
      <formula1>DATE(AnoBase,1,1)</formula1>
      <formula2>DATE(AnoBase,12,31)</formula2>
    </dataValidation>
    <dataValidation allowBlank="true" error="Digite só números: 11 dígitos (CPF) ou 14 dígitos (CNPJ)." errorStyle="stop" errorTitle="CPF/CNPJ inválido" operator="between" prompt="Somente números (11 ou 14 dígitos)." promptTitle="CPF/CNPJ" showDropDown="false" showErrorMessage="true" showInputMessage="true" sqref="C5:C204" type="custom">
      <formula1>OR(LEN(C5)=11,LEN(C5)=14)</formula1>
      <formula2>0</formula2>
    </dataValidation>
    <dataValidation allowBlank="true" error="Escolha uma categoria da lista." errorStyle="stop" errorTitle="Valor inválido" operator="between" prompt="Escolha um item da lista." promptTitle="Selecione" showDropDown="false" showErrorMessage="true" showInputMessage="true" sqref="D5:D204" type="list">
      <formula1>ListaCategorias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4" min="3" style="0" width="24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9" t="str">
        <f aca="false">HYPERLINK("#'Menu'!A1","◄ Voltar ao Menu")</f>
        <v>◄ Voltar ao Menu</v>
      </c>
    </row>
    <row r="2" customFormat="false" ht="17.35" hidden="false" customHeight="false" outlineLevel="0" collapsed="false">
      <c r="A2" s="10" t="s">
        <v>81</v>
      </c>
    </row>
    <row r="3" customFormat="false" ht="15" hidden="false" customHeight="false" outlineLevel="0" collapsed="false">
      <c r="A3" s="8" t="s">
        <v>82</v>
      </c>
    </row>
    <row r="4" customFormat="false" ht="31.5" hidden="false" customHeight="true" outlineLevel="0" collapsed="false">
      <c r="A4" s="18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66</v>
      </c>
    </row>
    <row r="5" customFormat="false" ht="15" hidden="false" customHeight="false" outlineLevel="0" collapsed="false">
      <c r="A5" s="20" t="s">
        <v>88</v>
      </c>
      <c r="B5" s="20" t="s">
        <v>89</v>
      </c>
      <c r="C5" s="22" t="n">
        <v>42000</v>
      </c>
      <c r="D5" s="22" t="n">
        <v>40000</v>
      </c>
      <c r="E5" s="25" t="n">
        <f aca="false">IF(AND(C5="",D5=""),"",N(D5)-N(C5))</f>
        <v>-2000</v>
      </c>
      <c r="F5" s="20" t="s">
        <v>70</v>
      </c>
    </row>
    <row r="6" customFormat="false" ht="15" hidden="false" customHeight="false" outlineLevel="0" collapsed="false">
      <c r="A6" s="20"/>
      <c r="B6" s="20"/>
      <c r="C6" s="22"/>
      <c r="D6" s="22"/>
      <c r="E6" s="25" t="str">
        <f aca="false">IF(AND(C6="",D6=""),"",N(D6)-N(C6))</f>
        <v/>
      </c>
      <c r="F6" s="20"/>
    </row>
    <row r="7" customFormat="false" ht="15" hidden="false" customHeight="false" outlineLevel="0" collapsed="false">
      <c r="A7" s="20"/>
      <c r="B7" s="20"/>
      <c r="C7" s="22"/>
      <c r="D7" s="22"/>
      <c r="E7" s="25" t="str">
        <f aca="false">IF(AND(C7="",D7=""),"",N(D7)-N(C7))</f>
        <v/>
      </c>
      <c r="F7" s="20"/>
    </row>
    <row r="8" customFormat="false" ht="15" hidden="false" customHeight="false" outlineLevel="0" collapsed="false">
      <c r="A8" s="20"/>
      <c r="B8" s="20"/>
      <c r="C8" s="22"/>
      <c r="D8" s="22"/>
      <c r="E8" s="25" t="str">
        <f aca="false">IF(AND(C8="",D8=""),"",N(D8)-N(C8))</f>
        <v/>
      </c>
      <c r="F8" s="20"/>
    </row>
    <row r="9" customFormat="false" ht="15" hidden="false" customHeight="false" outlineLevel="0" collapsed="false">
      <c r="A9" s="20"/>
      <c r="B9" s="20"/>
      <c r="C9" s="22"/>
      <c r="D9" s="22"/>
      <c r="E9" s="25" t="str">
        <f aca="false">IF(AND(C9="",D9=""),"",N(D9)-N(C9))</f>
        <v/>
      </c>
      <c r="F9" s="20"/>
    </row>
    <row r="10" customFormat="false" ht="15" hidden="false" customHeight="false" outlineLevel="0" collapsed="false">
      <c r="A10" s="20"/>
      <c r="B10" s="20"/>
      <c r="C10" s="22"/>
      <c r="D10" s="22"/>
      <c r="E10" s="25" t="str">
        <f aca="false">IF(AND(C10="",D10=""),"",N(D10)-N(C10))</f>
        <v/>
      </c>
      <c r="F10" s="20"/>
    </row>
    <row r="11" customFormat="false" ht="15" hidden="false" customHeight="false" outlineLevel="0" collapsed="false">
      <c r="A11" s="20"/>
      <c r="B11" s="20"/>
      <c r="C11" s="22"/>
      <c r="D11" s="22"/>
      <c r="E11" s="25" t="str">
        <f aca="false">IF(AND(C11="",D11=""),"",N(D11)-N(C11))</f>
        <v/>
      </c>
      <c r="F11" s="20"/>
    </row>
    <row r="12" customFormat="false" ht="15" hidden="false" customHeight="false" outlineLevel="0" collapsed="false">
      <c r="A12" s="20"/>
      <c r="B12" s="20"/>
      <c r="C12" s="22"/>
      <c r="D12" s="22"/>
      <c r="E12" s="25" t="str">
        <f aca="false">IF(AND(C12="",D12=""),"",N(D12)-N(C12))</f>
        <v/>
      </c>
      <c r="F12" s="20"/>
    </row>
    <row r="13" customFormat="false" ht="15" hidden="false" customHeight="false" outlineLevel="0" collapsed="false">
      <c r="A13" s="20"/>
      <c r="B13" s="20"/>
      <c r="C13" s="22"/>
      <c r="D13" s="22"/>
      <c r="E13" s="25" t="str">
        <f aca="false">IF(AND(C13="",D13=""),"",N(D13)-N(C13))</f>
        <v/>
      </c>
      <c r="F13" s="20"/>
    </row>
    <row r="14" customFormat="false" ht="15" hidden="false" customHeight="false" outlineLevel="0" collapsed="false">
      <c r="A14" s="20"/>
      <c r="B14" s="20"/>
      <c r="C14" s="22"/>
      <c r="D14" s="22"/>
      <c r="E14" s="25" t="str">
        <f aca="false">IF(AND(C14="",D14=""),"",N(D14)-N(C14))</f>
        <v/>
      </c>
      <c r="F14" s="20"/>
    </row>
    <row r="15" customFormat="false" ht="15" hidden="false" customHeight="false" outlineLevel="0" collapsed="false">
      <c r="A15" s="20"/>
      <c r="B15" s="20"/>
      <c r="C15" s="22"/>
      <c r="D15" s="22"/>
      <c r="E15" s="25" t="str">
        <f aca="false">IF(AND(C15="",D15=""),"",N(D15)-N(C15))</f>
        <v/>
      </c>
      <c r="F15" s="20"/>
    </row>
    <row r="16" customFormat="false" ht="15" hidden="false" customHeight="false" outlineLevel="0" collapsed="false">
      <c r="A16" s="20"/>
      <c r="B16" s="20"/>
      <c r="C16" s="22"/>
      <c r="D16" s="22"/>
      <c r="E16" s="25" t="str">
        <f aca="false">IF(AND(C16="",D16=""),"",N(D16)-N(C16))</f>
        <v/>
      </c>
      <c r="F16" s="20"/>
    </row>
    <row r="17" customFormat="false" ht="15" hidden="false" customHeight="false" outlineLevel="0" collapsed="false">
      <c r="A17" s="20"/>
      <c r="B17" s="20"/>
      <c r="C17" s="22"/>
      <c r="D17" s="22"/>
      <c r="E17" s="25" t="str">
        <f aca="false">IF(AND(C17="",D17=""),"",N(D17)-N(C17))</f>
        <v/>
      </c>
      <c r="F17" s="20"/>
    </row>
    <row r="18" customFormat="false" ht="15" hidden="false" customHeight="false" outlineLevel="0" collapsed="false">
      <c r="A18" s="20"/>
      <c r="B18" s="20"/>
      <c r="C18" s="22"/>
      <c r="D18" s="22"/>
      <c r="E18" s="25" t="str">
        <f aca="false">IF(AND(C18="",D18=""),"",N(D18)-N(C18))</f>
        <v/>
      </c>
      <c r="F18" s="20"/>
    </row>
    <row r="19" customFormat="false" ht="15" hidden="false" customHeight="false" outlineLevel="0" collapsed="false">
      <c r="A19" s="20"/>
      <c r="B19" s="20"/>
      <c r="C19" s="22"/>
      <c r="D19" s="22"/>
      <c r="E19" s="25" t="str">
        <f aca="false">IF(AND(C19="",D19=""),"",N(D19)-N(C19))</f>
        <v/>
      </c>
      <c r="F19" s="20"/>
    </row>
    <row r="20" customFormat="false" ht="15" hidden="false" customHeight="false" outlineLevel="0" collapsed="false">
      <c r="A20" s="20"/>
      <c r="B20" s="20"/>
      <c r="C20" s="22"/>
      <c r="D20" s="22"/>
      <c r="E20" s="25" t="str">
        <f aca="false">IF(AND(C20="",D20=""),"",N(D20)-N(C20))</f>
        <v/>
      </c>
      <c r="F20" s="20"/>
    </row>
    <row r="21" customFormat="false" ht="15" hidden="false" customHeight="false" outlineLevel="0" collapsed="false">
      <c r="A21" s="20"/>
      <c r="B21" s="20"/>
      <c r="C21" s="22"/>
      <c r="D21" s="22"/>
      <c r="E21" s="25" t="str">
        <f aca="false">IF(AND(C21="",D21=""),"",N(D21)-N(C21))</f>
        <v/>
      </c>
      <c r="F21" s="20"/>
    </row>
    <row r="22" customFormat="false" ht="15" hidden="false" customHeight="false" outlineLevel="0" collapsed="false">
      <c r="A22" s="20"/>
      <c r="B22" s="20"/>
      <c r="C22" s="22"/>
      <c r="D22" s="22"/>
      <c r="E22" s="25" t="str">
        <f aca="false">IF(AND(C22="",D22=""),"",N(D22)-N(C22))</f>
        <v/>
      </c>
      <c r="F22" s="20"/>
    </row>
    <row r="23" customFormat="false" ht="15" hidden="false" customHeight="false" outlineLevel="0" collapsed="false">
      <c r="A23" s="20"/>
      <c r="B23" s="20"/>
      <c r="C23" s="22"/>
      <c r="D23" s="22"/>
      <c r="E23" s="25" t="str">
        <f aca="false">IF(AND(C23="",D23=""),"",N(D23)-N(C23))</f>
        <v/>
      </c>
      <c r="F23" s="20"/>
    </row>
    <row r="24" customFormat="false" ht="15" hidden="false" customHeight="false" outlineLevel="0" collapsed="false">
      <c r="A24" s="20"/>
      <c r="B24" s="20"/>
      <c r="C24" s="22"/>
      <c r="D24" s="22"/>
      <c r="E24" s="25" t="str">
        <f aca="false">IF(AND(C24="",D24=""),"",N(D24)-N(C24))</f>
        <v/>
      </c>
      <c r="F24" s="20"/>
    </row>
    <row r="25" customFormat="false" ht="15" hidden="false" customHeight="false" outlineLevel="0" collapsed="false">
      <c r="A25" s="20"/>
      <c r="B25" s="20"/>
      <c r="C25" s="22"/>
      <c r="D25" s="22"/>
      <c r="E25" s="25" t="str">
        <f aca="false">IF(AND(C25="",D25=""),"",N(D25)-N(C25))</f>
        <v/>
      </c>
      <c r="F25" s="20"/>
    </row>
    <row r="26" customFormat="false" ht="15" hidden="false" customHeight="false" outlineLevel="0" collapsed="false">
      <c r="A26" s="20"/>
      <c r="B26" s="20"/>
      <c r="C26" s="22"/>
      <c r="D26" s="22"/>
      <c r="E26" s="25" t="str">
        <f aca="false">IF(AND(C26="",D26=""),"",N(D26)-N(C26))</f>
        <v/>
      </c>
      <c r="F26" s="20"/>
    </row>
    <row r="27" customFormat="false" ht="15" hidden="false" customHeight="false" outlineLevel="0" collapsed="false">
      <c r="A27" s="20"/>
      <c r="B27" s="20"/>
      <c r="C27" s="22"/>
      <c r="D27" s="22"/>
      <c r="E27" s="25" t="str">
        <f aca="false">IF(AND(C27="",D27=""),"",N(D27)-N(C27))</f>
        <v/>
      </c>
      <c r="F27" s="20"/>
    </row>
    <row r="28" customFormat="false" ht="15" hidden="false" customHeight="false" outlineLevel="0" collapsed="false">
      <c r="A28" s="20"/>
      <c r="B28" s="20"/>
      <c r="C28" s="22"/>
      <c r="D28" s="22"/>
      <c r="E28" s="25" t="str">
        <f aca="false">IF(AND(C28="",D28=""),"",N(D28)-N(C28))</f>
        <v/>
      </c>
      <c r="F28" s="20"/>
    </row>
    <row r="29" customFormat="false" ht="15" hidden="false" customHeight="false" outlineLevel="0" collapsed="false">
      <c r="A29" s="20"/>
      <c r="B29" s="20"/>
      <c r="C29" s="22"/>
      <c r="D29" s="22"/>
      <c r="E29" s="25" t="str">
        <f aca="false">IF(AND(C29="",D29=""),"",N(D29)-N(C29))</f>
        <v/>
      </c>
      <c r="F29" s="20"/>
    </row>
    <row r="30" customFormat="false" ht="15" hidden="false" customHeight="false" outlineLevel="0" collapsed="false">
      <c r="A30" s="20"/>
      <c r="B30" s="20"/>
      <c r="C30" s="22"/>
      <c r="D30" s="22"/>
      <c r="E30" s="25" t="str">
        <f aca="false">IF(AND(C30="",D30=""),"",N(D30)-N(C30))</f>
        <v/>
      </c>
      <c r="F30" s="20"/>
    </row>
    <row r="31" customFormat="false" ht="15" hidden="false" customHeight="false" outlineLevel="0" collapsed="false">
      <c r="A31" s="20"/>
      <c r="B31" s="20"/>
      <c r="C31" s="22"/>
      <c r="D31" s="22"/>
      <c r="E31" s="25" t="str">
        <f aca="false">IF(AND(C31="",D31=""),"",N(D31)-N(C31))</f>
        <v/>
      </c>
      <c r="F31" s="20"/>
    </row>
    <row r="32" customFormat="false" ht="15" hidden="false" customHeight="false" outlineLevel="0" collapsed="false">
      <c r="A32" s="20"/>
      <c r="B32" s="20"/>
      <c r="C32" s="22"/>
      <c r="D32" s="22"/>
      <c r="E32" s="25" t="str">
        <f aca="false">IF(AND(C32="",D32=""),"",N(D32)-N(C32))</f>
        <v/>
      </c>
      <c r="F32" s="20"/>
    </row>
    <row r="33" customFormat="false" ht="15" hidden="false" customHeight="false" outlineLevel="0" collapsed="false">
      <c r="A33" s="20"/>
      <c r="B33" s="20"/>
      <c r="C33" s="22"/>
      <c r="D33" s="22"/>
      <c r="E33" s="25" t="str">
        <f aca="false">IF(AND(C33="",D33=""),"",N(D33)-N(C33))</f>
        <v/>
      </c>
      <c r="F33" s="20"/>
    </row>
    <row r="34" customFormat="false" ht="15" hidden="false" customHeight="false" outlineLevel="0" collapsed="false">
      <c r="A34" s="20"/>
      <c r="B34" s="20"/>
      <c r="C34" s="22"/>
      <c r="D34" s="22"/>
      <c r="E34" s="25" t="str">
        <f aca="false">IF(AND(C34="",D34=""),"",N(D34)-N(C34))</f>
        <v/>
      </c>
      <c r="F34" s="20"/>
    </row>
    <row r="35" customFormat="false" ht="15" hidden="false" customHeight="false" outlineLevel="0" collapsed="false">
      <c r="A35" s="20"/>
      <c r="B35" s="20"/>
      <c r="C35" s="22"/>
      <c r="D35" s="22"/>
      <c r="E35" s="25" t="str">
        <f aca="false">IF(AND(C35="",D35=""),"",N(D35)-N(C35))</f>
        <v/>
      </c>
      <c r="F35" s="20"/>
    </row>
    <row r="36" customFormat="false" ht="15" hidden="false" customHeight="false" outlineLevel="0" collapsed="false">
      <c r="A36" s="20"/>
      <c r="B36" s="20"/>
      <c r="C36" s="22"/>
      <c r="D36" s="22"/>
      <c r="E36" s="25" t="str">
        <f aca="false">IF(AND(C36="",D36=""),"",N(D36)-N(C36))</f>
        <v/>
      </c>
      <c r="F36" s="20"/>
    </row>
    <row r="37" customFormat="false" ht="15" hidden="false" customHeight="false" outlineLevel="0" collapsed="false">
      <c r="A37" s="20"/>
      <c r="B37" s="20"/>
      <c r="C37" s="22"/>
      <c r="D37" s="22"/>
      <c r="E37" s="25" t="str">
        <f aca="false">IF(AND(C37="",D37=""),"",N(D37)-N(C37))</f>
        <v/>
      </c>
      <c r="F37" s="20"/>
    </row>
    <row r="38" customFormat="false" ht="15" hidden="false" customHeight="false" outlineLevel="0" collapsed="false">
      <c r="A38" s="20"/>
      <c r="B38" s="20"/>
      <c r="C38" s="22"/>
      <c r="D38" s="22"/>
      <c r="E38" s="25" t="str">
        <f aca="false">IF(AND(C38="",D38=""),"",N(D38)-N(C38))</f>
        <v/>
      </c>
      <c r="F38" s="20"/>
    </row>
    <row r="39" customFormat="false" ht="15" hidden="false" customHeight="false" outlineLevel="0" collapsed="false">
      <c r="A39" s="20"/>
      <c r="B39" s="20"/>
      <c r="C39" s="22"/>
      <c r="D39" s="22"/>
      <c r="E39" s="25" t="str">
        <f aca="false">IF(AND(C39="",D39=""),"",N(D39)-N(C39))</f>
        <v/>
      </c>
      <c r="F39" s="20"/>
    </row>
    <row r="40" customFormat="false" ht="15" hidden="false" customHeight="false" outlineLevel="0" collapsed="false">
      <c r="A40" s="20"/>
      <c r="B40" s="20"/>
      <c r="C40" s="22"/>
      <c r="D40" s="22"/>
      <c r="E40" s="25" t="str">
        <f aca="false">IF(AND(C40="",D40=""),"",N(D40)-N(C40))</f>
        <v/>
      </c>
      <c r="F40" s="20"/>
    </row>
    <row r="41" customFormat="false" ht="15" hidden="false" customHeight="false" outlineLevel="0" collapsed="false">
      <c r="A41" s="20"/>
      <c r="B41" s="20"/>
      <c r="C41" s="22"/>
      <c r="D41" s="22"/>
      <c r="E41" s="25" t="str">
        <f aca="false">IF(AND(C41="",D41=""),"",N(D41)-N(C41))</f>
        <v/>
      </c>
      <c r="F41" s="20"/>
    </row>
    <row r="42" customFormat="false" ht="15" hidden="false" customHeight="false" outlineLevel="0" collapsed="false">
      <c r="A42" s="20"/>
      <c r="B42" s="20"/>
      <c r="C42" s="22"/>
      <c r="D42" s="22"/>
      <c r="E42" s="25" t="str">
        <f aca="false">IF(AND(C42="",D42=""),"",N(D42)-N(C42))</f>
        <v/>
      </c>
      <c r="F42" s="20"/>
    </row>
    <row r="43" customFormat="false" ht="15" hidden="false" customHeight="false" outlineLevel="0" collapsed="false">
      <c r="A43" s="20"/>
      <c r="B43" s="20"/>
      <c r="C43" s="22"/>
      <c r="D43" s="22"/>
      <c r="E43" s="25" t="str">
        <f aca="false">IF(AND(C43="",D43=""),"",N(D43)-N(C43))</f>
        <v/>
      </c>
      <c r="F43" s="20"/>
    </row>
    <row r="44" customFormat="false" ht="15" hidden="false" customHeight="false" outlineLevel="0" collapsed="false">
      <c r="A44" s="20"/>
      <c r="B44" s="20"/>
      <c r="C44" s="22"/>
      <c r="D44" s="22"/>
      <c r="E44" s="25" t="str">
        <f aca="false">IF(AND(C44="",D44=""),"",N(D44)-N(C44))</f>
        <v/>
      </c>
      <c r="F44" s="20"/>
    </row>
    <row r="45" customFormat="false" ht="15" hidden="false" customHeight="false" outlineLevel="0" collapsed="false">
      <c r="A45" s="20"/>
      <c r="B45" s="20"/>
      <c r="C45" s="22"/>
      <c r="D45" s="22"/>
      <c r="E45" s="25" t="str">
        <f aca="false">IF(AND(C45="",D45=""),"",N(D45)-N(C45))</f>
        <v/>
      </c>
      <c r="F45" s="20"/>
    </row>
    <row r="46" customFormat="false" ht="15" hidden="false" customHeight="false" outlineLevel="0" collapsed="false">
      <c r="A46" s="20"/>
      <c r="B46" s="20"/>
      <c r="C46" s="22"/>
      <c r="D46" s="22"/>
      <c r="E46" s="25" t="str">
        <f aca="false">IF(AND(C46="",D46=""),"",N(D46)-N(C46))</f>
        <v/>
      </c>
      <c r="F46" s="20"/>
    </row>
    <row r="47" customFormat="false" ht="15" hidden="false" customHeight="false" outlineLevel="0" collapsed="false">
      <c r="A47" s="20"/>
      <c r="B47" s="20"/>
      <c r="C47" s="22"/>
      <c r="D47" s="22"/>
      <c r="E47" s="25" t="str">
        <f aca="false">IF(AND(C47="",D47=""),"",N(D47)-N(C47))</f>
        <v/>
      </c>
      <c r="F47" s="20"/>
    </row>
    <row r="48" customFormat="false" ht="15" hidden="false" customHeight="false" outlineLevel="0" collapsed="false">
      <c r="A48" s="20"/>
      <c r="B48" s="20"/>
      <c r="C48" s="22"/>
      <c r="D48" s="22"/>
      <c r="E48" s="25" t="str">
        <f aca="false">IF(AND(C48="",D48=""),"",N(D48)-N(C48))</f>
        <v/>
      </c>
      <c r="F48" s="20"/>
    </row>
    <row r="49" customFormat="false" ht="15" hidden="false" customHeight="false" outlineLevel="0" collapsed="false">
      <c r="A49" s="20"/>
      <c r="B49" s="20"/>
      <c r="C49" s="22"/>
      <c r="D49" s="22"/>
      <c r="E49" s="25" t="str">
        <f aca="false">IF(AND(C49="",D49=""),"",N(D49)-N(C49))</f>
        <v/>
      </c>
      <c r="F49" s="20"/>
    </row>
    <row r="50" customFormat="false" ht="15" hidden="false" customHeight="false" outlineLevel="0" collapsed="false">
      <c r="A50" s="20"/>
      <c r="B50" s="20"/>
      <c r="C50" s="22"/>
      <c r="D50" s="22"/>
      <c r="E50" s="25" t="str">
        <f aca="false">IF(AND(C50="",D50=""),"",N(D50)-N(C50))</f>
        <v/>
      </c>
      <c r="F50" s="20"/>
    </row>
    <row r="51" customFormat="false" ht="15" hidden="false" customHeight="false" outlineLevel="0" collapsed="false">
      <c r="A51" s="20"/>
      <c r="B51" s="20"/>
      <c r="C51" s="22"/>
      <c r="D51" s="22"/>
      <c r="E51" s="25" t="str">
        <f aca="false">IF(AND(C51="",D51=""),"",N(D51)-N(C51))</f>
        <v/>
      </c>
      <c r="F51" s="20"/>
    </row>
    <row r="52" customFormat="false" ht="15" hidden="false" customHeight="false" outlineLevel="0" collapsed="false">
      <c r="A52" s="20"/>
      <c r="B52" s="20"/>
      <c r="C52" s="22"/>
      <c r="D52" s="22"/>
      <c r="E52" s="25" t="str">
        <f aca="false">IF(AND(C52="",D52=""),"",N(D52)-N(C52))</f>
        <v/>
      </c>
      <c r="F52" s="20"/>
    </row>
    <row r="53" customFormat="false" ht="15" hidden="false" customHeight="false" outlineLevel="0" collapsed="false">
      <c r="A53" s="20"/>
      <c r="B53" s="20"/>
      <c r="C53" s="22"/>
      <c r="D53" s="22"/>
      <c r="E53" s="25" t="str">
        <f aca="false">IF(AND(C53="",D53=""),"",N(D53)-N(C53))</f>
        <v/>
      </c>
      <c r="F53" s="20"/>
    </row>
    <row r="54" customFormat="false" ht="15" hidden="false" customHeight="false" outlineLevel="0" collapsed="false">
      <c r="A54" s="20"/>
      <c r="B54" s="20"/>
      <c r="C54" s="22"/>
      <c r="D54" s="22"/>
      <c r="E54" s="25" t="str">
        <f aca="false">IF(AND(C54="",D54=""),"",N(D54)-N(C54))</f>
        <v/>
      </c>
      <c r="F54" s="20"/>
    </row>
    <row r="55" customFormat="false" ht="15" hidden="false" customHeight="false" outlineLevel="0" collapsed="false">
      <c r="A55" s="20"/>
      <c r="B55" s="20"/>
      <c r="C55" s="22"/>
      <c r="D55" s="22"/>
      <c r="E55" s="25" t="str">
        <f aca="false">IF(AND(C55="",D55=""),"",N(D55)-N(C55))</f>
        <v/>
      </c>
      <c r="F55" s="20"/>
    </row>
    <row r="56" customFormat="false" ht="15" hidden="false" customHeight="false" outlineLevel="0" collapsed="false">
      <c r="A56" s="20"/>
      <c r="B56" s="20"/>
      <c r="C56" s="22"/>
      <c r="D56" s="22"/>
      <c r="E56" s="25" t="str">
        <f aca="false">IF(AND(C56="",D56=""),"",N(D56)-N(C56))</f>
        <v/>
      </c>
      <c r="F56" s="20"/>
    </row>
    <row r="57" customFormat="false" ht="15" hidden="false" customHeight="false" outlineLevel="0" collapsed="false">
      <c r="A57" s="20"/>
      <c r="B57" s="20"/>
      <c r="C57" s="22"/>
      <c r="D57" s="22"/>
      <c r="E57" s="25" t="str">
        <f aca="false">IF(AND(C57="",D57=""),"",N(D57)-N(C57))</f>
        <v/>
      </c>
      <c r="F57" s="20"/>
    </row>
    <row r="58" customFormat="false" ht="15" hidden="false" customHeight="false" outlineLevel="0" collapsed="false">
      <c r="A58" s="20"/>
      <c r="B58" s="20"/>
      <c r="C58" s="22"/>
      <c r="D58" s="22"/>
      <c r="E58" s="25" t="str">
        <f aca="false">IF(AND(C58="",D58=""),"",N(D58)-N(C58))</f>
        <v/>
      </c>
      <c r="F58" s="20"/>
    </row>
    <row r="59" customFormat="false" ht="15" hidden="false" customHeight="false" outlineLevel="0" collapsed="false">
      <c r="A59" s="20"/>
      <c r="B59" s="20"/>
      <c r="C59" s="22"/>
      <c r="D59" s="22"/>
      <c r="E59" s="25" t="str">
        <f aca="false">IF(AND(C59="",D59=""),"",N(D59)-N(C59))</f>
        <v/>
      </c>
      <c r="F59" s="20"/>
    </row>
    <row r="60" customFormat="false" ht="15" hidden="false" customHeight="false" outlineLevel="0" collapsed="false">
      <c r="A60" s="20"/>
      <c r="B60" s="20"/>
      <c r="C60" s="22"/>
      <c r="D60" s="22"/>
      <c r="E60" s="25" t="str">
        <f aca="false">IF(AND(C60="",D60=""),"",N(D60)-N(C60))</f>
        <v/>
      </c>
      <c r="F60" s="20"/>
    </row>
    <row r="61" customFormat="false" ht="15" hidden="false" customHeight="false" outlineLevel="0" collapsed="false">
      <c r="A61" s="20"/>
      <c r="B61" s="20"/>
      <c r="C61" s="22"/>
      <c r="D61" s="22"/>
      <c r="E61" s="25" t="str">
        <f aca="false">IF(AND(C61="",D61=""),"",N(D61)-N(C61))</f>
        <v/>
      </c>
      <c r="F61" s="20"/>
    </row>
    <row r="62" customFormat="false" ht="15" hidden="false" customHeight="false" outlineLevel="0" collapsed="false">
      <c r="A62" s="20"/>
      <c r="B62" s="20"/>
      <c r="C62" s="22"/>
      <c r="D62" s="22"/>
      <c r="E62" s="25" t="str">
        <f aca="false">IF(AND(C62="",D62=""),"",N(D62)-N(C62))</f>
        <v/>
      </c>
      <c r="F62" s="20"/>
    </row>
    <row r="63" customFormat="false" ht="15" hidden="false" customHeight="false" outlineLevel="0" collapsed="false">
      <c r="A63" s="20"/>
      <c r="B63" s="20"/>
      <c r="C63" s="22"/>
      <c r="D63" s="22"/>
      <c r="E63" s="25" t="str">
        <f aca="false">IF(AND(C63="",D63=""),"",N(D63)-N(C63))</f>
        <v/>
      </c>
      <c r="F63" s="20"/>
    </row>
    <row r="64" customFormat="false" ht="15" hidden="false" customHeight="false" outlineLevel="0" collapsed="false">
      <c r="A64" s="20"/>
      <c r="B64" s="20"/>
      <c r="C64" s="22"/>
      <c r="D64" s="22"/>
      <c r="E64" s="25" t="str">
        <f aca="false">IF(AND(C64="",D64=""),"",N(D64)-N(C64))</f>
        <v/>
      </c>
      <c r="F64" s="20"/>
    </row>
    <row r="65" customFormat="false" ht="15" hidden="false" customHeight="false" outlineLevel="0" collapsed="false">
      <c r="A65" s="20"/>
      <c r="B65" s="20"/>
      <c r="C65" s="22"/>
      <c r="D65" s="22"/>
      <c r="E65" s="25" t="str">
        <f aca="false">IF(AND(C65="",D65=""),"",N(D65)-N(C65))</f>
        <v/>
      </c>
      <c r="F65" s="20"/>
    </row>
    <row r="66" customFormat="false" ht="15" hidden="false" customHeight="false" outlineLevel="0" collapsed="false">
      <c r="A66" s="20"/>
      <c r="B66" s="20"/>
      <c r="C66" s="22"/>
      <c r="D66" s="22"/>
      <c r="E66" s="25" t="str">
        <f aca="false">IF(AND(C66="",D66=""),"",N(D66)-N(C66))</f>
        <v/>
      </c>
      <c r="F66" s="20"/>
    </row>
    <row r="67" customFormat="false" ht="15" hidden="false" customHeight="false" outlineLevel="0" collapsed="false">
      <c r="A67" s="20"/>
      <c r="B67" s="20"/>
      <c r="C67" s="22"/>
      <c r="D67" s="22"/>
      <c r="E67" s="25" t="str">
        <f aca="false">IF(AND(C67="",D67=""),"",N(D67)-N(C67))</f>
        <v/>
      </c>
      <c r="F67" s="20"/>
    </row>
    <row r="68" customFormat="false" ht="15" hidden="false" customHeight="false" outlineLevel="0" collapsed="false">
      <c r="A68" s="20"/>
      <c r="B68" s="20"/>
      <c r="C68" s="22"/>
      <c r="D68" s="22"/>
      <c r="E68" s="25" t="str">
        <f aca="false">IF(AND(C68="",D68=""),"",N(D68)-N(C68))</f>
        <v/>
      </c>
      <c r="F68" s="20"/>
    </row>
    <row r="69" customFormat="false" ht="15" hidden="false" customHeight="false" outlineLevel="0" collapsed="false">
      <c r="A69" s="20"/>
      <c r="B69" s="20"/>
      <c r="C69" s="22"/>
      <c r="D69" s="22"/>
      <c r="E69" s="25" t="str">
        <f aca="false">IF(AND(C69="",D69=""),"",N(D69)-N(C69))</f>
        <v/>
      </c>
      <c r="F69" s="20"/>
    </row>
    <row r="70" customFormat="false" ht="15" hidden="false" customHeight="false" outlineLevel="0" collapsed="false">
      <c r="A70" s="20"/>
      <c r="B70" s="20"/>
      <c r="C70" s="22"/>
      <c r="D70" s="22"/>
      <c r="E70" s="25" t="str">
        <f aca="false">IF(AND(C70="",D70=""),"",N(D70)-N(C70))</f>
        <v/>
      </c>
      <c r="F70" s="20"/>
    </row>
    <row r="71" customFormat="false" ht="15" hidden="false" customHeight="false" outlineLevel="0" collapsed="false">
      <c r="A71" s="20"/>
      <c r="B71" s="20"/>
      <c r="C71" s="22"/>
      <c r="D71" s="22"/>
      <c r="E71" s="25" t="str">
        <f aca="false">IF(AND(C71="",D71=""),"",N(D71)-N(C71))</f>
        <v/>
      </c>
      <c r="F71" s="20"/>
    </row>
    <row r="72" customFormat="false" ht="15" hidden="false" customHeight="false" outlineLevel="0" collapsed="false">
      <c r="A72" s="20"/>
      <c r="B72" s="20"/>
      <c r="C72" s="22"/>
      <c r="D72" s="22"/>
      <c r="E72" s="25" t="str">
        <f aca="false">IF(AND(C72="",D72=""),"",N(D72)-N(C72))</f>
        <v/>
      </c>
      <c r="F72" s="20"/>
    </row>
    <row r="73" customFormat="false" ht="15" hidden="false" customHeight="false" outlineLevel="0" collapsed="false">
      <c r="A73" s="20"/>
      <c r="B73" s="20"/>
      <c r="C73" s="22"/>
      <c r="D73" s="22"/>
      <c r="E73" s="25" t="str">
        <f aca="false">IF(AND(C73="",D73=""),"",N(D73)-N(C73))</f>
        <v/>
      </c>
      <c r="F73" s="20"/>
    </row>
    <row r="74" customFormat="false" ht="15" hidden="false" customHeight="false" outlineLevel="0" collapsed="false">
      <c r="A74" s="20"/>
      <c r="B74" s="20"/>
      <c r="C74" s="22"/>
      <c r="D74" s="22"/>
      <c r="E74" s="25" t="str">
        <f aca="false">IF(AND(C74="",D74=""),"",N(D74)-N(C74))</f>
        <v/>
      </c>
      <c r="F74" s="20"/>
    </row>
    <row r="75" customFormat="false" ht="15" hidden="false" customHeight="false" outlineLevel="0" collapsed="false">
      <c r="A75" s="20"/>
      <c r="B75" s="20"/>
      <c r="C75" s="22"/>
      <c r="D75" s="22"/>
      <c r="E75" s="25" t="str">
        <f aca="false">IF(AND(C75="",D75=""),"",N(D75)-N(C75))</f>
        <v/>
      </c>
      <c r="F75" s="20"/>
    </row>
    <row r="76" customFormat="false" ht="15" hidden="false" customHeight="false" outlineLevel="0" collapsed="false">
      <c r="A76" s="20"/>
      <c r="B76" s="20"/>
      <c r="C76" s="22"/>
      <c r="D76" s="22"/>
      <c r="E76" s="25" t="str">
        <f aca="false">IF(AND(C76="",D76=""),"",N(D76)-N(C76))</f>
        <v/>
      </c>
      <c r="F76" s="20"/>
    </row>
    <row r="77" customFormat="false" ht="15" hidden="false" customHeight="false" outlineLevel="0" collapsed="false">
      <c r="A77" s="20"/>
      <c r="B77" s="20"/>
      <c r="C77" s="22"/>
      <c r="D77" s="22"/>
      <c r="E77" s="25" t="str">
        <f aca="false">IF(AND(C77="",D77=""),"",N(D77)-N(C77))</f>
        <v/>
      </c>
      <c r="F77" s="20"/>
    </row>
    <row r="78" customFormat="false" ht="15" hidden="false" customHeight="false" outlineLevel="0" collapsed="false">
      <c r="A78" s="20"/>
      <c r="B78" s="20"/>
      <c r="C78" s="22"/>
      <c r="D78" s="22"/>
      <c r="E78" s="25" t="str">
        <f aca="false">IF(AND(C78="",D78=""),"",N(D78)-N(C78))</f>
        <v/>
      </c>
      <c r="F78" s="20"/>
    </row>
    <row r="79" customFormat="false" ht="15" hidden="false" customHeight="false" outlineLevel="0" collapsed="false">
      <c r="A79" s="20"/>
      <c r="B79" s="20"/>
      <c r="C79" s="22"/>
      <c r="D79" s="22"/>
      <c r="E79" s="25" t="str">
        <f aca="false">IF(AND(C79="",D79=""),"",N(D79)-N(C79))</f>
        <v/>
      </c>
      <c r="F79" s="20"/>
    </row>
    <row r="80" customFormat="false" ht="15" hidden="false" customHeight="false" outlineLevel="0" collapsed="false">
      <c r="A80" s="20"/>
      <c r="B80" s="20"/>
      <c r="C80" s="22"/>
      <c r="D80" s="22"/>
      <c r="E80" s="25" t="str">
        <f aca="false">IF(AND(C80="",D80=""),"",N(D80)-N(C80))</f>
        <v/>
      </c>
      <c r="F80" s="20"/>
    </row>
    <row r="81" customFormat="false" ht="15" hidden="false" customHeight="false" outlineLevel="0" collapsed="false">
      <c r="A81" s="20"/>
      <c r="B81" s="20"/>
      <c r="C81" s="22"/>
      <c r="D81" s="22"/>
      <c r="E81" s="25" t="str">
        <f aca="false">IF(AND(C81="",D81=""),"",N(D81)-N(C81))</f>
        <v/>
      </c>
      <c r="F81" s="20"/>
    </row>
    <row r="82" customFormat="false" ht="15" hidden="false" customHeight="false" outlineLevel="0" collapsed="false">
      <c r="A82" s="20"/>
      <c r="B82" s="20"/>
      <c r="C82" s="22"/>
      <c r="D82" s="22"/>
      <c r="E82" s="25" t="str">
        <f aca="false">IF(AND(C82="",D82=""),"",N(D82)-N(C82))</f>
        <v/>
      </c>
      <c r="F82" s="20"/>
    </row>
    <row r="83" customFormat="false" ht="15" hidden="false" customHeight="false" outlineLevel="0" collapsed="false">
      <c r="A83" s="20"/>
      <c r="B83" s="20"/>
      <c r="C83" s="22"/>
      <c r="D83" s="22"/>
      <c r="E83" s="25" t="str">
        <f aca="false">IF(AND(C83="",D83=""),"",N(D83)-N(C83))</f>
        <v/>
      </c>
      <c r="F83" s="20"/>
    </row>
    <row r="84" customFormat="false" ht="15" hidden="false" customHeight="false" outlineLevel="0" collapsed="false">
      <c r="A84" s="20"/>
      <c r="B84" s="20"/>
      <c r="C84" s="22"/>
      <c r="D84" s="22"/>
      <c r="E84" s="25" t="str">
        <f aca="false">IF(AND(C84="",D84=""),"",N(D84)-N(C84))</f>
        <v/>
      </c>
      <c r="F84" s="20"/>
    </row>
    <row r="85" customFormat="false" ht="15" hidden="false" customHeight="false" outlineLevel="0" collapsed="false">
      <c r="A85" s="20"/>
      <c r="B85" s="20"/>
      <c r="C85" s="22"/>
      <c r="D85" s="22"/>
      <c r="E85" s="25" t="str">
        <f aca="false">IF(AND(C85="",D85=""),"",N(D85)-N(C85))</f>
        <v/>
      </c>
      <c r="F85" s="20"/>
    </row>
    <row r="86" customFormat="false" ht="15" hidden="false" customHeight="false" outlineLevel="0" collapsed="false">
      <c r="A86" s="20"/>
      <c r="B86" s="20"/>
      <c r="C86" s="22"/>
      <c r="D86" s="22"/>
      <c r="E86" s="25" t="str">
        <f aca="false">IF(AND(C86="",D86=""),"",N(D86)-N(C86))</f>
        <v/>
      </c>
      <c r="F86" s="20"/>
    </row>
    <row r="87" customFormat="false" ht="15" hidden="false" customHeight="false" outlineLevel="0" collapsed="false">
      <c r="A87" s="20"/>
      <c r="B87" s="20"/>
      <c r="C87" s="22"/>
      <c r="D87" s="22"/>
      <c r="E87" s="25" t="str">
        <f aca="false">IF(AND(C87="",D87=""),"",N(D87)-N(C87))</f>
        <v/>
      </c>
      <c r="F87" s="20"/>
    </row>
    <row r="88" customFormat="false" ht="15" hidden="false" customHeight="false" outlineLevel="0" collapsed="false">
      <c r="A88" s="20"/>
      <c r="B88" s="20"/>
      <c r="C88" s="22"/>
      <c r="D88" s="22"/>
      <c r="E88" s="25" t="str">
        <f aca="false">IF(AND(C88="",D88=""),"",N(D88)-N(C88))</f>
        <v/>
      </c>
      <c r="F88" s="20"/>
    </row>
    <row r="89" customFormat="false" ht="15" hidden="false" customHeight="false" outlineLevel="0" collapsed="false">
      <c r="A89" s="20"/>
      <c r="B89" s="20"/>
      <c r="C89" s="22"/>
      <c r="D89" s="22"/>
      <c r="E89" s="25" t="str">
        <f aca="false">IF(AND(C89="",D89=""),"",N(D89)-N(C89))</f>
        <v/>
      </c>
      <c r="F89" s="20"/>
    </row>
    <row r="90" customFormat="false" ht="15" hidden="false" customHeight="false" outlineLevel="0" collapsed="false">
      <c r="A90" s="20"/>
      <c r="B90" s="20"/>
      <c r="C90" s="22"/>
      <c r="D90" s="22"/>
      <c r="E90" s="25" t="str">
        <f aca="false">IF(AND(C90="",D90=""),"",N(D90)-N(C90))</f>
        <v/>
      </c>
      <c r="F90" s="20"/>
    </row>
    <row r="91" customFormat="false" ht="15" hidden="false" customHeight="false" outlineLevel="0" collapsed="false">
      <c r="A91" s="20"/>
      <c r="B91" s="20"/>
      <c r="C91" s="22"/>
      <c r="D91" s="22"/>
      <c r="E91" s="25" t="str">
        <f aca="false">IF(AND(C91="",D91=""),"",N(D91)-N(C91))</f>
        <v/>
      </c>
      <c r="F91" s="20"/>
    </row>
    <row r="92" customFormat="false" ht="15" hidden="false" customHeight="false" outlineLevel="0" collapsed="false">
      <c r="A92" s="20"/>
      <c r="B92" s="20"/>
      <c r="C92" s="22"/>
      <c r="D92" s="22"/>
      <c r="E92" s="25" t="str">
        <f aca="false">IF(AND(C92="",D92=""),"",N(D92)-N(C92))</f>
        <v/>
      </c>
      <c r="F92" s="20"/>
    </row>
    <row r="93" customFormat="false" ht="15" hidden="false" customHeight="false" outlineLevel="0" collapsed="false">
      <c r="A93" s="20"/>
      <c r="B93" s="20"/>
      <c r="C93" s="22"/>
      <c r="D93" s="22"/>
      <c r="E93" s="25" t="str">
        <f aca="false">IF(AND(C93="",D93=""),"",N(D93)-N(C93))</f>
        <v/>
      </c>
      <c r="F93" s="20"/>
    </row>
    <row r="94" customFormat="false" ht="15" hidden="false" customHeight="false" outlineLevel="0" collapsed="false">
      <c r="A94" s="20"/>
      <c r="B94" s="20"/>
      <c r="C94" s="22"/>
      <c r="D94" s="22"/>
      <c r="E94" s="25" t="str">
        <f aca="false">IF(AND(C94="",D94=""),"",N(D94)-N(C94))</f>
        <v/>
      </c>
      <c r="F94" s="20"/>
    </row>
    <row r="95" customFormat="false" ht="15" hidden="false" customHeight="false" outlineLevel="0" collapsed="false">
      <c r="A95" s="20"/>
      <c r="B95" s="20"/>
      <c r="C95" s="22"/>
      <c r="D95" s="22"/>
      <c r="E95" s="25" t="str">
        <f aca="false">IF(AND(C95="",D95=""),"",N(D95)-N(C95))</f>
        <v/>
      </c>
      <c r="F95" s="20"/>
    </row>
    <row r="96" customFormat="false" ht="15" hidden="false" customHeight="false" outlineLevel="0" collapsed="false">
      <c r="A96" s="20"/>
      <c r="B96" s="20"/>
      <c r="C96" s="22"/>
      <c r="D96" s="22"/>
      <c r="E96" s="25" t="str">
        <f aca="false">IF(AND(C96="",D96=""),"",N(D96)-N(C96))</f>
        <v/>
      </c>
      <c r="F96" s="20"/>
    </row>
    <row r="97" customFormat="false" ht="15" hidden="false" customHeight="false" outlineLevel="0" collapsed="false">
      <c r="A97" s="20"/>
      <c r="B97" s="20"/>
      <c r="C97" s="22"/>
      <c r="D97" s="22"/>
      <c r="E97" s="25" t="str">
        <f aca="false">IF(AND(C97="",D97=""),"",N(D97)-N(C97))</f>
        <v/>
      </c>
      <c r="F97" s="20"/>
    </row>
    <row r="98" customFormat="false" ht="15" hidden="false" customHeight="false" outlineLevel="0" collapsed="false">
      <c r="A98" s="20"/>
      <c r="B98" s="20"/>
      <c r="C98" s="22"/>
      <c r="D98" s="22"/>
      <c r="E98" s="25" t="str">
        <f aca="false">IF(AND(C98="",D98=""),"",N(D98)-N(C98))</f>
        <v/>
      </c>
      <c r="F98" s="20"/>
    </row>
    <row r="99" customFormat="false" ht="15" hidden="false" customHeight="false" outlineLevel="0" collapsed="false">
      <c r="A99" s="20"/>
      <c r="B99" s="20"/>
      <c r="C99" s="22"/>
      <c r="D99" s="22"/>
      <c r="E99" s="25" t="str">
        <f aca="false">IF(AND(C99="",D99=""),"",N(D99)-N(C99))</f>
        <v/>
      </c>
      <c r="F99" s="20"/>
    </row>
    <row r="100" customFormat="false" ht="15" hidden="false" customHeight="false" outlineLevel="0" collapsed="false">
      <c r="A100" s="20"/>
      <c r="B100" s="20"/>
      <c r="C100" s="22"/>
      <c r="D100" s="22"/>
      <c r="E100" s="25" t="str">
        <f aca="false">IF(AND(C100="",D100=""),"",N(D100)-N(C100))</f>
        <v/>
      </c>
      <c r="F100" s="20"/>
    </row>
    <row r="101" customFormat="false" ht="15" hidden="false" customHeight="false" outlineLevel="0" collapsed="false">
      <c r="A101" s="20"/>
      <c r="B101" s="20"/>
      <c r="C101" s="22"/>
      <c r="D101" s="22"/>
      <c r="E101" s="25" t="str">
        <f aca="false">IF(AND(C101="",D101=""),"",N(D101)-N(C101))</f>
        <v/>
      </c>
      <c r="F101" s="20"/>
    </row>
    <row r="102" customFormat="false" ht="15" hidden="false" customHeight="false" outlineLevel="0" collapsed="false">
      <c r="A102" s="20"/>
      <c r="B102" s="20"/>
      <c r="C102" s="22"/>
      <c r="D102" s="22"/>
      <c r="E102" s="25" t="str">
        <f aca="false">IF(AND(C102="",D102=""),"",N(D102)-N(C102))</f>
        <v/>
      </c>
      <c r="F102" s="20"/>
    </row>
    <row r="103" customFormat="false" ht="15" hidden="false" customHeight="false" outlineLevel="0" collapsed="false">
      <c r="A103" s="20"/>
      <c r="B103" s="20"/>
      <c r="C103" s="22"/>
      <c r="D103" s="22"/>
      <c r="E103" s="25" t="str">
        <f aca="false">IF(AND(C103="",D103=""),"",N(D103)-N(C103))</f>
        <v/>
      </c>
      <c r="F103" s="20"/>
    </row>
    <row r="104" customFormat="false" ht="15" hidden="false" customHeight="false" outlineLevel="0" collapsed="false">
      <c r="A104" s="20"/>
      <c r="B104" s="20"/>
      <c r="C104" s="22"/>
      <c r="D104" s="22"/>
      <c r="E104" s="25" t="str">
        <f aca="false">IF(AND(C104="",D104=""),"",N(D104)-N(C104))</f>
        <v/>
      </c>
      <c r="F104" s="20"/>
    </row>
    <row r="105" customFormat="false" ht="15" hidden="false" customHeight="false" outlineLevel="0" collapsed="false">
      <c r="A105" s="20"/>
      <c r="B105" s="20"/>
      <c r="C105" s="22"/>
      <c r="D105" s="22"/>
      <c r="E105" s="25" t="str">
        <f aca="false">IF(AND(C105="",D105=""),"",N(D105)-N(C105))</f>
        <v/>
      </c>
      <c r="F105" s="20"/>
    </row>
    <row r="106" customFormat="false" ht="15" hidden="false" customHeight="false" outlineLevel="0" collapsed="false">
      <c r="A106" s="20"/>
      <c r="B106" s="20"/>
      <c r="C106" s="22"/>
      <c r="D106" s="22"/>
      <c r="E106" s="25" t="str">
        <f aca="false">IF(AND(C106="",D106=""),"",N(D106)-N(C106))</f>
        <v/>
      </c>
      <c r="F106" s="20"/>
    </row>
    <row r="107" customFormat="false" ht="15" hidden="false" customHeight="false" outlineLevel="0" collapsed="false">
      <c r="A107" s="20"/>
      <c r="B107" s="20"/>
      <c r="C107" s="22"/>
      <c r="D107" s="22"/>
      <c r="E107" s="25" t="str">
        <f aca="false">IF(AND(C107="",D107=""),"",N(D107)-N(C107))</f>
        <v/>
      </c>
      <c r="F107" s="20"/>
    </row>
    <row r="108" customFormat="false" ht="15" hidden="false" customHeight="false" outlineLevel="0" collapsed="false">
      <c r="A108" s="20"/>
      <c r="B108" s="20"/>
      <c r="C108" s="22"/>
      <c r="D108" s="22"/>
      <c r="E108" s="25" t="str">
        <f aca="false">IF(AND(C108="",D108=""),"",N(D108)-N(C108))</f>
        <v/>
      </c>
      <c r="F108" s="20"/>
    </row>
    <row r="109" customFormat="false" ht="15" hidden="false" customHeight="false" outlineLevel="0" collapsed="false">
      <c r="A109" s="20"/>
      <c r="B109" s="20"/>
      <c r="C109" s="22"/>
      <c r="D109" s="22"/>
      <c r="E109" s="25" t="str">
        <f aca="false">IF(AND(C109="",D109=""),"",N(D109)-N(C109))</f>
        <v/>
      </c>
      <c r="F109" s="20"/>
    </row>
    <row r="110" customFormat="false" ht="15" hidden="false" customHeight="false" outlineLevel="0" collapsed="false">
      <c r="A110" s="20"/>
      <c r="B110" s="20"/>
      <c r="C110" s="22"/>
      <c r="D110" s="22"/>
      <c r="E110" s="25" t="str">
        <f aca="false">IF(AND(C110="",D110=""),"",N(D110)-N(C110))</f>
        <v/>
      </c>
      <c r="F110" s="20"/>
    </row>
    <row r="111" customFormat="false" ht="15" hidden="false" customHeight="false" outlineLevel="0" collapsed="false">
      <c r="A111" s="20"/>
      <c r="B111" s="20"/>
      <c r="C111" s="22"/>
      <c r="D111" s="22"/>
      <c r="E111" s="25" t="str">
        <f aca="false">IF(AND(C111="",D111=""),"",N(D111)-N(C111))</f>
        <v/>
      </c>
      <c r="F111" s="20"/>
    </row>
    <row r="112" customFormat="false" ht="15" hidden="false" customHeight="false" outlineLevel="0" collapsed="false">
      <c r="A112" s="20"/>
      <c r="B112" s="20"/>
      <c r="C112" s="22"/>
      <c r="D112" s="22"/>
      <c r="E112" s="25" t="str">
        <f aca="false">IF(AND(C112="",D112=""),"",N(D112)-N(C112))</f>
        <v/>
      </c>
      <c r="F112" s="20"/>
    </row>
    <row r="113" customFormat="false" ht="15" hidden="false" customHeight="false" outlineLevel="0" collapsed="false">
      <c r="A113" s="20"/>
      <c r="B113" s="20"/>
      <c r="C113" s="22"/>
      <c r="D113" s="22"/>
      <c r="E113" s="25" t="str">
        <f aca="false">IF(AND(C113="",D113=""),"",N(D113)-N(C113))</f>
        <v/>
      </c>
      <c r="F113" s="20"/>
    </row>
    <row r="114" customFormat="false" ht="15" hidden="false" customHeight="false" outlineLevel="0" collapsed="false">
      <c r="A114" s="20"/>
      <c r="B114" s="20"/>
      <c r="C114" s="22"/>
      <c r="D114" s="22"/>
      <c r="E114" s="25" t="str">
        <f aca="false">IF(AND(C114="",D114=""),"",N(D114)-N(C114))</f>
        <v/>
      </c>
      <c r="F114" s="20"/>
    </row>
    <row r="115" customFormat="false" ht="15" hidden="false" customHeight="false" outlineLevel="0" collapsed="false">
      <c r="A115" s="20"/>
      <c r="B115" s="20"/>
      <c r="C115" s="22"/>
      <c r="D115" s="22"/>
      <c r="E115" s="25" t="str">
        <f aca="false">IF(AND(C115="",D115=""),"",N(D115)-N(C115))</f>
        <v/>
      </c>
      <c r="F115" s="20"/>
    </row>
    <row r="116" customFormat="false" ht="15" hidden="false" customHeight="false" outlineLevel="0" collapsed="false">
      <c r="A116" s="20"/>
      <c r="B116" s="20"/>
      <c r="C116" s="22"/>
      <c r="D116" s="22"/>
      <c r="E116" s="25" t="str">
        <f aca="false">IF(AND(C116="",D116=""),"",N(D116)-N(C116))</f>
        <v/>
      </c>
      <c r="F116" s="20"/>
    </row>
    <row r="117" customFormat="false" ht="15" hidden="false" customHeight="false" outlineLevel="0" collapsed="false">
      <c r="A117" s="20"/>
      <c r="B117" s="20"/>
      <c r="C117" s="22"/>
      <c r="D117" s="22"/>
      <c r="E117" s="25" t="str">
        <f aca="false">IF(AND(C117="",D117=""),"",N(D117)-N(C117))</f>
        <v/>
      </c>
      <c r="F117" s="20"/>
    </row>
    <row r="118" customFormat="false" ht="15" hidden="false" customHeight="false" outlineLevel="0" collapsed="false">
      <c r="A118" s="20"/>
      <c r="B118" s="20"/>
      <c r="C118" s="22"/>
      <c r="D118" s="22"/>
      <c r="E118" s="25" t="str">
        <f aca="false">IF(AND(C118="",D118=""),"",N(D118)-N(C118))</f>
        <v/>
      </c>
      <c r="F118" s="20"/>
    </row>
    <row r="119" customFormat="false" ht="15" hidden="false" customHeight="false" outlineLevel="0" collapsed="false">
      <c r="A119" s="20"/>
      <c r="B119" s="20"/>
      <c r="C119" s="22"/>
      <c r="D119" s="22"/>
      <c r="E119" s="25" t="str">
        <f aca="false">IF(AND(C119="",D119=""),"",N(D119)-N(C119))</f>
        <v/>
      </c>
      <c r="F119" s="20"/>
    </row>
    <row r="120" customFormat="false" ht="15" hidden="false" customHeight="false" outlineLevel="0" collapsed="false">
      <c r="A120" s="20"/>
      <c r="B120" s="20"/>
      <c r="C120" s="22"/>
      <c r="D120" s="22"/>
      <c r="E120" s="25" t="str">
        <f aca="false">IF(AND(C120="",D120=""),"",N(D120)-N(C120))</f>
        <v/>
      </c>
      <c r="F120" s="20"/>
    </row>
    <row r="121" customFormat="false" ht="15" hidden="false" customHeight="false" outlineLevel="0" collapsed="false">
      <c r="A121" s="20"/>
      <c r="B121" s="20"/>
      <c r="C121" s="22"/>
      <c r="D121" s="22"/>
      <c r="E121" s="25" t="str">
        <f aca="false">IF(AND(C121="",D121=""),"",N(D121)-N(C121))</f>
        <v/>
      </c>
      <c r="F121" s="20"/>
    </row>
    <row r="122" customFormat="false" ht="15" hidden="false" customHeight="false" outlineLevel="0" collapsed="false">
      <c r="A122" s="20"/>
      <c r="B122" s="20"/>
      <c r="C122" s="22"/>
      <c r="D122" s="22"/>
      <c r="E122" s="25" t="str">
        <f aca="false">IF(AND(C122="",D122=""),"",N(D122)-N(C122))</f>
        <v/>
      </c>
      <c r="F122" s="20"/>
    </row>
    <row r="123" customFormat="false" ht="15" hidden="false" customHeight="false" outlineLevel="0" collapsed="false">
      <c r="A123" s="20"/>
      <c r="B123" s="20"/>
      <c r="C123" s="22"/>
      <c r="D123" s="22"/>
      <c r="E123" s="25" t="str">
        <f aca="false">IF(AND(C123="",D123=""),"",N(D123)-N(C123))</f>
        <v/>
      </c>
      <c r="F123" s="20"/>
    </row>
    <row r="124" customFormat="false" ht="15" hidden="false" customHeight="false" outlineLevel="0" collapsed="false">
      <c r="A124" s="20"/>
      <c r="B124" s="20"/>
      <c r="C124" s="22"/>
      <c r="D124" s="22"/>
      <c r="E124" s="25" t="str">
        <f aca="false">IF(AND(C124="",D124=""),"",N(D124)-N(C124))</f>
        <v/>
      </c>
      <c r="F124" s="20"/>
    </row>
    <row r="125" customFormat="false" ht="15" hidden="false" customHeight="false" outlineLevel="0" collapsed="false">
      <c r="A125" s="20"/>
      <c r="B125" s="20"/>
      <c r="C125" s="22"/>
      <c r="D125" s="22"/>
      <c r="E125" s="25" t="str">
        <f aca="false">IF(AND(C125="",D125=""),"",N(D125)-N(C125))</f>
        <v/>
      </c>
      <c r="F125" s="20"/>
    </row>
    <row r="126" customFormat="false" ht="15" hidden="false" customHeight="false" outlineLevel="0" collapsed="false">
      <c r="A126" s="20"/>
      <c r="B126" s="20"/>
      <c r="C126" s="22"/>
      <c r="D126" s="22"/>
      <c r="E126" s="25" t="str">
        <f aca="false">IF(AND(C126="",D126=""),"",N(D126)-N(C126))</f>
        <v/>
      </c>
      <c r="F126" s="20"/>
    </row>
    <row r="127" customFormat="false" ht="15" hidden="false" customHeight="false" outlineLevel="0" collapsed="false">
      <c r="A127" s="20"/>
      <c r="B127" s="20"/>
      <c r="C127" s="22"/>
      <c r="D127" s="22"/>
      <c r="E127" s="25" t="str">
        <f aca="false">IF(AND(C127="",D127=""),"",N(D127)-N(C127))</f>
        <v/>
      </c>
      <c r="F127" s="20"/>
    </row>
    <row r="128" customFormat="false" ht="15" hidden="false" customHeight="false" outlineLevel="0" collapsed="false">
      <c r="A128" s="20"/>
      <c r="B128" s="20"/>
      <c r="C128" s="22"/>
      <c r="D128" s="22"/>
      <c r="E128" s="25" t="str">
        <f aca="false">IF(AND(C128="",D128=""),"",N(D128)-N(C128))</f>
        <v/>
      </c>
      <c r="F128" s="20"/>
    </row>
    <row r="129" customFormat="false" ht="15" hidden="false" customHeight="false" outlineLevel="0" collapsed="false">
      <c r="A129" s="20"/>
      <c r="B129" s="20"/>
      <c r="C129" s="22"/>
      <c r="D129" s="22"/>
      <c r="E129" s="25" t="str">
        <f aca="false">IF(AND(C129="",D129=""),"",N(D129)-N(C129))</f>
        <v/>
      </c>
      <c r="F129" s="20"/>
    </row>
    <row r="130" customFormat="false" ht="15" hidden="false" customHeight="false" outlineLevel="0" collapsed="false">
      <c r="A130" s="20"/>
      <c r="B130" s="20"/>
      <c r="C130" s="22"/>
      <c r="D130" s="22"/>
      <c r="E130" s="25" t="str">
        <f aca="false">IF(AND(C130="",D130=""),"",N(D130)-N(C130))</f>
        <v/>
      </c>
      <c r="F130" s="20"/>
    </row>
    <row r="131" customFormat="false" ht="15" hidden="false" customHeight="false" outlineLevel="0" collapsed="false">
      <c r="A131" s="20"/>
      <c r="B131" s="20"/>
      <c r="C131" s="22"/>
      <c r="D131" s="22"/>
      <c r="E131" s="25" t="str">
        <f aca="false">IF(AND(C131="",D131=""),"",N(D131)-N(C131))</f>
        <v/>
      </c>
      <c r="F131" s="20"/>
    </row>
    <row r="132" customFormat="false" ht="15" hidden="false" customHeight="false" outlineLevel="0" collapsed="false">
      <c r="A132" s="20"/>
      <c r="B132" s="20"/>
      <c r="C132" s="22"/>
      <c r="D132" s="22"/>
      <c r="E132" s="25" t="str">
        <f aca="false">IF(AND(C132="",D132=""),"",N(D132)-N(C132))</f>
        <v/>
      </c>
      <c r="F132" s="20"/>
    </row>
    <row r="133" customFormat="false" ht="15" hidden="false" customHeight="false" outlineLevel="0" collapsed="false">
      <c r="A133" s="20"/>
      <c r="B133" s="20"/>
      <c r="C133" s="22"/>
      <c r="D133" s="22"/>
      <c r="E133" s="25" t="str">
        <f aca="false">IF(AND(C133="",D133=""),"",N(D133)-N(C133))</f>
        <v/>
      </c>
      <c r="F133" s="20"/>
    </row>
    <row r="134" customFormat="false" ht="15" hidden="false" customHeight="false" outlineLevel="0" collapsed="false">
      <c r="A134" s="20"/>
      <c r="B134" s="20"/>
      <c r="C134" s="22"/>
      <c r="D134" s="22"/>
      <c r="E134" s="25" t="str">
        <f aca="false">IF(AND(C134="",D134=""),"",N(D134)-N(C134))</f>
        <v/>
      </c>
      <c r="F134" s="20"/>
    </row>
    <row r="135" customFormat="false" ht="15" hidden="false" customHeight="false" outlineLevel="0" collapsed="false">
      <c r="A135" s="20"/>
      <c r="B135" s="20"/>
      <c r="C135" s="22"/>
      <c r="D135" s="22"/>
      <c r="E135" s="25" t="str">
        <f aca="false">IF(AND(C135="",D135=""),"",N(D135)-N(C135))</f>
        <v/>
      </c>
      <c r="F135" s="20"/>
    </row>
    <row r="136" customFormat="false" ht="15" hidden="false" customHeight="false" outlineLevel="0" collapsed="false">
      <c r="A136" s="20"/>
      <c r="B136" s="20"/>
      <c r="C136" s="22"/>
      <c r="D136" s="22"/>
      <c r="E136" s="25" t="str">
        <f aca="false">IF(AND(C136="",D136=""),"",N(D136)-N(C136))</f>
        <v/>
      </c>
      <c r="F136" s="20"/>
    </row>
    <row r="137" customFormat="false" ht="15" hidden="false" customHeight="false" outlineLevel="0" collapsed="false">
      <c r="A137" s="20"/>
      <c r="B137" s="20"/>
      <c r="C137" s="22"/>
      <c r="D137" s="22"/>
      <c r="E137" s="25" t="str">
        <f aca="false">IF(AND(C137="",D137=""),"",N(D137)-N(C137))</f>
        <v/>
      </c>
      <c r="F137" s="20"/>
    </row>
    <row r="138" customFormat="false" ht="15" hidden="false" customHeight="false" outlineLevel="0" collapsed="false">
      <c r="A138" s="20"/>
      <c r="B138" s="20"/>
      <c r="C138" s="22"/>
      <c r="D138" s="22"/>
      <c r="E138" s="25" t="str">
        <f aca="false">IF(AND(C138="",D138=""),"",N(D138)-N(C138))</f>
        <v/>
      </c>
      <c r="F138" s="20"/>
    </row>
    <row r="139" customFormat="false" ht="15" hidden="false" customHeight="false" outlineLevel="0" collapsed="false">
      <c r="A139" s="20"/>
      <c r="B139" s="20"/>
      <c r="C139" s="22"/>
      <c r="D139" s="22"/>
      <c r="E139" s="25" t="str">
        <f aca="false">IF(AND(C139="",D139=""),"",N(D139)-N(C139))</f>
        <v/>
      </c>
      <c r="F139" s="20"/>
    </row>
    <row r="140" customFormat="false" ht="15" hidden="false" customHeight="false" outlineLevel="0" collapsed="false">
      <c r="A140" s="20"/>
      <c r="B140" s="20"/>
      <c r="C140" s="22"/>
      <c r="D140" s="22"/>
      <c r="E140" s="25" t="str">
        <f aca="false">IF(AND(C140="",D140=""),"",N(D140)-N(C140))</f>
        <v/>
      </c>
      <c r="F140" s="20"/>
    </row>
    <row r="141" customFormat="false" ht="15" hidden="false" customHeight="false" outlineLevel="0" collapsed="false">
      <c r="A141" s="20"/>
      <c r="B141" s="20"/>
      <c r="C141" s="22"/>
      <c r="D141" s="22"/>
      <c r="E141" s="25" t="str">
        <f aca="false">IF(AND(C141="",D141=""),"",N(D141)-N(C141))</f>
        <v/>
      </c>
      <c r="F141" s="20"/>
    </row>
    <row r="142" customFormat="false" ht="15" hidden="false" customHeight="false" outlineLevel="0" collapsed="false">
      <c r="A142" s="20"/>
      <c r="B142" s="20"/>
      <c r="C142" s="22"/>
      <c r="D142" s="22"/>
      <c r="E142" s="25" t="str">
        <f aca="false">IF(AND(C142="",D142=""),"",N(D142)-N(C142))</f>
        <v/>
      </c>
      <c r="F142" s="20"/>
    </row>
    <row r="143" customFormat="false" ht="15" hidden="false" customHeight="false" outlineLevel="0" collapsed="false">
      <c r="A143" s="20"/>
      <c r="B143" s="20"/>
      <c r="C143" s="22"/>
      <c r="D143" s="22"/>
      <c r="E143" s="25" t="str">
        <f aca="false">IF(AND(C143="",D143=""),"",N(D143)-N(C143))</f>
        <v/>
      </c>
      <c r="F143" s="20"/>
    </row>
    <row r="144" customFormat="false" ht="15" hidden="false" customHeight="false" outlineLevel="0" collapsed="false">
      <c r="A144" s="20"/>
      <c r="B144" s="20"/>
      <c r="C144" s="22"/>
      <c r="D144" s="22"/>
      <c r="E144" s="25" t="str">
        <f aca="false">IF(AND(C144="",D144=""),"",N(D144)-N(C144))</f>
        <v/>
      </c>
      <c r="F144" s="20"/>
    </row>
    <row r="145" customFormat="false" ht="15" hidden="false" customHeight="false" outlineLevel="0" collapsed="false">
      <c r="A145" s="20"/>
      <c r="B145" s="20"/>
      <c r="C145" s="22"/>
      <c r="D145" s="22"/>
      <c r="E145" s="25" t="str">
        <f aca="false">IF(AND(C145="",D145=""),"",N(D145)-N(C145))</f>
        <v/>
      </c>
      <c r="F145" s="20"/>
    </row>
    <row r="146" customFormat="false" ht="15" hidden="false" customHeight="false" outlineLevel="0" collapsed="false">
      <c r="A146" s="20"/>
      <c r="B146" s="20"/>
      <c r="C146" s="22"/>
      <c r="D146" s="22"/>
      <c r="E146" s="25" t="str">
        <f aca="false">IF(AND(C146="",D146=""),"",N(D146)-N(C146))</f>
        <v/>
      </c>
      <c r="F146" s="20"/>
    </row>
    <row r="147" customFormat="false" ht="15" hidden="false" customHeight="false" outlineLevel="0" collapsed="false">
      <c r="A147" s="20"/>
      <c r="B147" s="20"/>
      <c r="C147" s="22"/>
      <c r="D147" s="22"/>
      <c r="E147" s="25" t="str">
        <f aca="false">IF(AND(C147="",D147=""),"",N(D147)-N(C147))</f>
        <v/>
      </c>
      <c r="F147" s="20"/>
    </row>
    <row r="148" customFormat="false" ht="15" hidden="false" customHeight="false" outlineLevel="0" collapsed="false">
      <c r="A148" s="20"/>
      <c r="B148" s="20"/>
      <c r="C148" s="22"/>
      <c r="D148" s="22"/>
      <c r="E148" s="25" t="str">
        <f aca="false">IF(AND(C148="",D148=""),"",N(D148)-N(C148))</f>
        <v/>
      </c>
      <c r="F148" s="20"/>
    </row>
    <row r="149" customFormat="false" ht="15" hidden="false" customHeight="false" outlineLevel="0" collapsed="false">
      <c r="A149" s="20"/>
      <c r="B149" s="20"/>
      <c r="C149" s="22"/>
      <c r="D149" s="22"/>
      <c r="E149" s="25" t="str">
        <f aca="false">IF(AND(C149="",D149=""),"",N(D149)-N(C149))</f>
        <v/>
      </c>
      <c r="F149" s="20"/>
    </row>
    <row r="150" customFormat="false" ht="15" hidden="false" customHeight="false" outlineLevel="0" collapsed="false">
      <c r="A150" s="20"/>
      <c r="B150" s="20"/>
      <c r="C150" s="22"/>
      <c r="D150" s="22"/>
      <c r="E150" s="25" t="str">
        <f aca="false">IF(AND(C150="",D150=""),"",N(D150)-N(C150))</f>
        <v/>
      </c>
      <c r="F150" s="20"/>
    </row>
    <row r="151" customFormat="false" ht="15" hidden="false" customHeight="false" outlineLevel="0" collapsed="false">
      <c r="A151" s="20"/>
      <c r="B151" s="20"/>
      <c r="C151" s="22"/>
      <c r="D151" s="22"/>
      <c r="E151" s="25" t="str">
        <f aca="false">IF(AND(C151="",D151=""),"",N(D151)-N(C151))</f>
        <v/>
      </c>
      <c r="F151" s="20"/>
    </row>
    <row r="152" customFormat="false" ht="15" hidden="false" customHeight="false" outlineLevel="0" collapsed="false">
      <c r="A152" s="20"/>
      <c r="B152" s="20"/>
      <c r="C152" s="22"/>
      <c r="D152" s="22"/>
      <c r="E152" s="25" t="str">
        <f aca="false">IF(AND(C152="",D152=""),"",N(D152)-N(C152))</f>
        <v/>
      </c>
      <c r="F152" s="20"/>
    </row>
    <row r="153" customFormat="false" ht="15" hidden="false" customHeight="false" outlineLevel="0" collapsed="false">
      <c r="A153" s="20"/>
      <c r="B153" s="20"/>
      <c r="C153" s="22"/>
      <c r="D153" s="22"/>
      <c r="E153" s="25" t="str">
        <f aca="false">IF(AND(C153="",D153=""),"",N(D153)-N(C153))</f>
        <v/>
      </c>
      <c r="F153" s="20"/>
    </row>
    <row r="154" customFormat="false" ht="15" hidden="false" customHeight="false" outlineLevel="0" collapsed="false">
      <c r="A154" s="20"/>
      <c r="B154" s="20"/>
      <c r="C154" s="22"/>
      <c r="D154" s="22"/>
      <c r="E154" s="25" t="str">
        <f aca="false">IF(AND(C154="",D154=""),"",N(D154)-N(C154))</f>
        <v/>
      </c>
      <c r="F154" s="20"/>
    </row>
    <row r="155" customFormat="false" ht="15" hidden="false" customHeight="false" outlineLevel="0" collapsed="false">
      <c r="A155" s="20"/>
      <c r="B155" s="20"/>
      <c r="C155" s="22"/>
      <c r="D155" s="22"/>
      <c r="E155" s="25" t="str">
        <f aca="false">IF(AND(C155="",D155=""),"",N(D155)-N(C155))</f>
        <v/>
      </c>
      <c r="F155" s="20"/>
    </row>
    <row r="156" customFormat="false" ht="15" hidden="false" customHeight="false" outlineLevel="0" collapsed="false">
      <c r="A156" s="20"/>
      <c r="B156" s="20"/>
      <c r="C156" s="22"/>
      <c r="D156" s="22"/>
      <c r="E156" s="25" t="str">
        <f aca="false">IF(AND(C156="",D156=""),"",N(D156)-N(C156))</f>
        <v/>
      </c>
      <c r="F156" s="20"/>
    </row>
    <row r="157" customFormat="false" ht="15" hidden="false" customHeight="false" outlineLevel="0" collapsed="false">
      <c r="A157" s="20"/>
      <c r="B157" s="20"/>
      <c r="C157" s="22"/>
      <c r="D157" s="22"/>
      <c r="E157" s="25" t="str">
        <f aca="false">IF(AND(C157="",D157=""),"",N(D157)-N(C157))</f>
        <v/>
      </c>
      <c r="F157" s="20"/>
    </row>
    <row r="158" customFormat="false" ht="15" hidden="false" customHeight="false" outlineLevel="0" collapsed="false">
      <c r="A158" s="20"/>
      <c r="B158" s="20"/>
      <c r="C158" s="22"/>
      <c r="D158" s="22"/>
      <c r="E158" s="25" t="str">
        <f aca="false">IF(AND(C158="",D158=""),"",N(D158)-N(C158))</f>
        <v/>
      </c>
      <c r="F158" s="20"/>
    </row>
    <row r="159" customFormat="false" ht="15" hidden="false" customHeight="false" outlineLevel="0" collapsed="false">
      <c r="A159" s="20"/>
      <c r="B159" s="20"/>
      <c r="C159" s="22"/>
      <c r="D159" s="22"/>
      <c r="E159" s="25" t="str">
        <f aca="false">IF(AND(C159="",D159=""),"",N(D159)-N(C159))</f>
        <v/>
      </c>
      <c r="F159" s="20"/>
    </row>
    <row r="160" customFormat="false" ht="15" hidden="false" customHeight="false" outlineLevel="0" collapsed="false">
      <c r="A160" s="20"/>
      <c r="B160" s="20"/>
      <c r="C160" s="22"/>
      <c r="D160" s="22"/>
      <c r="E160" s="25" t="str">
        <f aca="false">IF(AND(C160="",D160=""),"",N(D160)-N(C160))</f>
        <v/>
      </c>
      <c r="F160" s="20"/>
    </row>
    <row r="161" customFormat="false" ht="15" hidden="false" customHeight="false" outlineLevel="0" collapsed="false">
      <c r="A161" s="20"/>
      <c r="B161" s="20"/>
      <c r="C161" s="22"/>
      <c r="D161" s="22"/>
      <c r="E161" s="25" t="str">
        <f aca="false">IF(AND(C161="",D161=""),"",N(D161)-N(C161))</f>
        <v/>
      </c>
      <c r="F161" s="20"/>
    </row>
    <row r="162" customFormat="false" ht="15" hidden="false" customHeight="false" outlineLevel="0" collapsed="false">
      <c r="A162" s="20"/>
      <c r="B162" s="20"/>
      <c r="C162" s="22"/>
      <c r="D162" s="22"/>
      <c r="E162" s="25" t="str">
        <f aca="false">IF(AND(C162="",D162=""),"",N(D162)-N(C162))</f>
        <v/>
      </c>
      <c r="F162" s="20"/>
    </row>
    <row r="163" customFormat="false" ht="15" hidden="false" customHeight="false" outlineLevel="0" collapsed="false">
      <c r="A163" s="20"/>
      <c r="B163" s="20"/>
      <c r="C163" s="22"/>
      <c r="D163" s="22"/>
      <c r="E163" s="25" t="str">
        <f aca="false">IF(AND(C163="",D163=""),"",N(D163)-N(C163))</f>
        <v/>
      </c>
      <c r="F163" s="20"/>
    </row>
    <row r="164" customFormat="false" ht="15" hidden="false" customHeight="false" outlineLevel="0" collapsed="false">
      <c r="A164" s="20"/>
      <c r="B164" s="20"/>
      <c r="C164" s="22"/>
      <c r="D164" s="22"/>
      <c r="E164" s="25" t="str">
        <f aca="false">IF(AND(C164="",D164=""),"",N(D164)-N(C164))</f>
        <v/>
      </c>
      <c r="F164" s="20"/>
    </row>
    <row r="165" customFormat="false" ht="15" hidden="false" customHeight="false" outlineLevel="0" collapsed="false">
      <c r="A165" s="20"/>
      <c r="B165" s="20"/>
      <c r="C165" s="22"/>
      <c r="D165" s="22"/>
      <c r="E165" s="25" t="str">
        <f aca="false">IF(AND(C165="",D165=""),"",N(D165)-N(C165))</f>
        <v/>
      </c>
      <c r="F165" s="20"/>
    </row>
    <row r="166" customFormat="false" ht="15" hidden="false" customHeight="false" outlineLevel="0" collapsed="false">
      <c r="A166" s="20"/>
      <c r="B166" s="20"/>
      <c r="C166" s="22"/>
      <c r="D166" s="22"/>
      <c r="E166" s="25" t="str">
        <f aca="false">IF(AND(C166="",D166=""),"",N(D166)-N(C166))</f>
        <v/>
      </c>
      <c r="F166" s="20"/>
    </row>
    <row r="167" customFormat="false" ht="15" hidden="false" customHeight="false" outlineLevel="0" collapsed="false">
      <c r="A167" s="20"/>
      <c r="B167" s="20"/>
      <c r="C167" s="22"/>
      <c r="D167" s="22"/>
      <c r="E167" s="25" t="str">
        <f aca="false">IF(AND(C167="",D167=""),"",N(D167)-N(C167))</f>
        <v/>
      </c>
      <c r="F167" s="20"/>
    </row>
    <row r="168" customFormat="false" ht="15" hidden="false" customHeight="false" outlineLevel="0" collapsed="false">
      <c r="A168" s="20"/>
      <c r="B168" s="20"/>
      <c r="C168" s="22"/>
      <c r="D168" s="22"/>
      <c r="E168" s="25" t="str">
        <f aca="false">IF(AND(C168="",D168=""),"",N(D168)-N(C168))</f>
        <v/>
      </c>
      <c r="F168" s="20"/>
    </row>
    <row r="169" customFormat="false" ht="15" hidden="false" customHeight="false" outlineLevel="0" collapsed="false">
      <c r="A169" s="20"/>
      <c r="B169" s="20"/>
      <c r="C169" s="22"/>
      <c r="D169" s="22"/>
      <c r="E169" s="25" t="str">
        <f aca="false">IF(AND(C169="",D169=""),"",N(D169)-N(C169))</f>
        <v/>
      </c>
      <c r="F169" s="20"/>
    </row>
    <row r="170" customFormat="false" ht="15" hidden="false" customHeight="false" outlineLevel="0" collapsed="false">
      <c r="A170" s="20"/>
      <c r="B170" s="20"/>
      <c r="C170" s="22"/>
      <c r="D170" s="22"/>
      <c r="E170" s="25" t="str">
        <f aca="false">IF(AND(C170="",D170=""),"",N(D170)-N(C170))</f>
        <v/>
      </c>
      <c r="F170" s="20"/>
    </row>
    <row r="171" customFormat="false" ht="15" hidden="false" customHeight="false" outlineLevel="0" collapsed="false">
      <c r="A171" s="20"/>
      <c r="B171" s="20"/>
      <c r="C171" s="22"/>
      <c r="D171" s="22"/>
      <c r="E171" s="25" t="str">
        <f aca="false">IF(AND(C171="",D171=""),"",N(D171)-N(C171))</f>
        <v/>
      </c>
      <c r="F171" s="20"/>
    </row>
    <row r="172" customFormat="false" ht="15" hidden="false" customHeight="false" outlineLevel="0" collapsed="false">
      <c r="A172" s="20"/>
      <c r="B172" s="20"/>
      <c r="C172" s="22"/>
      <c r="D172" s="22"/>
      <c r="E172" s="25" t="str">
        <f aca="false">IF(AND(C172="",D172=""),"",N(D172)-N(C172))</f>
        <v/>
      </c>
      <c r="F172" s="20"/>
    </row>
    <row r="173" customFormat="false" ht="15" hidden="false" customHeight="false" outlineLevel="0" collapsed="false">
      <c r="A173" s="20"/>
      <c r="B173" s="20"/>
      <c r="C173" s="22"/>
      <c r="D173" s="22"/>
      <c r="E173" s="25" t="str">
        <f aca="false">IF(AND(C173="",D173=""),"",N(D173)-N(C173))</f>
        <v/>
      </c>
      <c r="F173" s="20"/>
    </row>
    <row r="174" customFormat="false" ht="15" hidden="false" customHeight="false" outlineLevel="0" collapsed="false">
      <c r="A174" s="20"/>
      <c r="B174" s="20"/>
      <c r="C174" s="22"/>
      <c r="D174" s="22"/>
      <c r="E174" s="25" t="str">
        <f aca="false">IF(AND(C174="",D174=""),"",N(D174)-N(C174))</f>
        <v/>
      </c>
      <c r="F174" s="20"/>
    </row>
    <row r="175" customFormat="false" ht="15" hidden="false" customHeight="false" outlineLevel="0" collapsed="false">
      <c r="A175" s="20"/>
      <c r="B175" s="20"/>
      <c r="C175" s="22"/>
      <c r="D175" s="22"/>
      <c r="E175" s="25" t="str">
        <f aca="false">IF(AND(C175="",D175=""),"",N(D175)-N(C175))</f>
        <v/>
      </c>
      <c r="F175" s="20"/>
    </row>
    <row r="176" customFormat="false" ht="15" hidden="false" customHeight="false" outlineLevel="0" collapsed="false">
      <c r="A176" s="20"/>
      <c r="B176" s="20"/>
      <c r="C176" s="22"/>
      <c r="D176" s="22"/>
      <c r="E176" s="25" t="str">
        <f aca="false">IF(AND(C176="",D176=""),"",N(D176)-N(C176))</f>
        <v/>
      </c>
      <c r="F176" s="20"/>
    </row>
    <row r="177" customFormat="false" ht="15" hidden="false" customHeight="false" outlineLevel="0" collapsed="false">
      <c r="A177" s="20"/>
      <c r="B177" s="20"/>
      <c r="C177" s="22"/>
      <c r="D177" s="22"/>
      <c r="E177" s="25" t="str">
        <f aca="false">IF(AND(C177="",D177=""),"",N(D177)-N(C177))</f>
        <v/>
      </c>
      <c r="F177" s="20"/>
    </row>
    <row r="178" customFormat="false" ht="15" hidden="false" customHeight="false" outlineLevel="0" collapsed="false">
      <c r="A178" s="20"/>
      <c r="B178" s="20"/>
      <c r="C178" s="22"/>
      <c r="D178" s="22"/>
      <c r="E178" s="25" t="str">
        <f aca="false">IF(AND(C178="",D178=""),"",N(D178)-N(C178))</f>
        <v/>
      </c>
      <c r="F178" s="20"/>
    </row>
    <row r="179" customFormat="false" ht="15" hidden="false" customHeight="false" outlineLevel="0" collapsed="false">
      <c r="A179" s="20"/>
      <c r="B179" s="20"/>
      <c r="C179" s="22"/>
      <c r="D179" s="22"/>
      <c r="E179" s="25" t="str">
        <f aca="false">IF(AND(C179="",D179=""),"",N(D179)-N(C179))</f>
        <v/>
      </c>
      <c r="F179" s="20"/>
    </row>
    <row r="180" customFormat="false" ht="15" hidden="false" customHeight="false" outlineLevel="0" collapsed="false">
      <c r="A180" s="20"/>
      <c r="B180" s="20"/>
      <c r="C180" s="22"/>
      <c r="D180" s="22"/>
      <c r="E180" s="25" t="str">
        <f aca="false">IF(AND(C180="",D180=""),"",N(D180)-N(C180))</f>
        <v/>
      </c>
      <c r="F180" s="20"/>
    </row>
    <row r="181" customFormat="false" ht="15" hidden="false" customHeight="false" outlineLevel="0" collapsed="false">
      <c r="A181" s="20"/>
      <c r="B181" s="20"/>
      <c r="C181" s="22"/>
      <c r="D181" s="22"/>
      <c r="E181" s="25" t="str">
        <f aca="false">IF(AND(C181="",D181=""),"",N(D181)-N(C181))</f>
        <v/>
      </c>
      <c r="F181" s="20"/>
    </row>
    <row r="182" customFormat="false" ht="15" hidden="false" customHeight="false" outlineLevel="0" collapsed="false">
      <c r="A182" s="20"/>
      <c r="B182" s="20"/>
      <c r="C182" s="22"/>
      <c r="D182" s="22"/>
      <c r="E182" s="25" t="str">
        <f aca="false">IF(AND(C182="",D182=""),"",N(D182)-N(C182))</f>
        <v/>
      </c>
      <c r="F182" s="20"/>
    </row>
    <row r="183" customFormat="false" ht="15" hidden="false" customHeight="false" outlineLevel="0" collapsed="false">
      <c r="A183" s="20"/>
      <c r="B183" s="20"/>
      <c r="C183" s="22"/>
      <c r="D183" s="22"/>
      <c r="E183" s="25" t="str">
        <f aca="false">IF(AND(C183="",D183=""),"",N(D183)-N(C183))</f>
        <v/>
      </c>
      <c r="F183" s="20"/>
    </row>
    <row r="184" customFormat="false" ht="15" hidden="false" customHeight="false" outlineLevel="0" collapsed="false">
      <c r="A184" s="20"/>
      <c r="B184" s="20"/>
      <c r="C184" s="22"/>
      <c r="D184" s="22"/>
      <c r="E184" s="25" t="str">
        <f aca="false">IF(AND(C184="",D184=""),"",N(D184)-N(C184))</f>
        <v/>
      </c>
      <c r="F184" s="20"/>
    </row>
    <row r="185" customFormat="false" ht="15" hidden="false" customHeight="false" outlineLevel="0" collapsed="false">
      <c r="A185" s="20"/>
      <c r="B185" s="20"/>
      <c r="C185" s="22"/>
      <c r="D185" s="22"/>
      <c r="E185" s="25" t="str">
        <f aca="false">IF(AND(C185="",D185=""),"",N(D185)-N(C185))</f>
        <v/>
      </c>
      <c r="F185" s="20"/>
    </row>
    <row r="186" customFormat="false" ht="15" hidden="false" customHeight="false" outlineLevel="0" collapsed="false">
      <c r="A186" s="20"/>
      <c r="B186" s="20"/>
      <c r="C186" s="22"/>
      <c r="D186" s="22"/>
      <c r="E186" s="25" t="str">
        <f aca="false">IF(AND(C186="",D186=""),"",N(D186)-N(C186))</f>
        <v/>
      </c>
      <c r="F186" s="20"/>
    </row>
    <row r="187" customFormat="false" ht="15" hidden="false" customHeight="false" outlineLevel="0" collapsed="false">
      <c r="A187" s="20"/>
      <c r="B187" s="20"/>
      <c r="C187" s="22"/>
      <c r="D187" s="22"/>
      <c r="E187" s="25" t="str">
        <f aca="false">IF(AND(C187="",D187=""),"",N(D187)-N(C187))</f>
        <v/>
      </c>
      <c r="F187" s="20"/>
    </row>
    <row r="188" customFormat="false" ht="15" hidden="false" customHeight="false" outlineLevel="0" collapsed="false">
      <c r="A188" s="20"/>
      <c r="B188" s="20"/>
      <c r="C188" s="22"/>
      <c r="D188" s="22"/>
      <c r="E188" s="25" t="str">
        <f aca="false">IF(AND(C188="",D188=""),"",N(D188)-N(C188))</f>
        <v/>
      </c>
      <c r="F188" s="20"/>
    </row>
    <row r="189" customFormat="false" ht="15" hidden="false" customHeight="false" outlineLevel="0" collapsed="false">
      <c r="A189" s="20"/>
      <c r="B189" s="20"/>
      <c r="C189" s="22"/>
      <c r="D189" s="22"/>
      <c r="E189" s="25" t="str">
        <f aca="false">IF(AND(C189="",D189=""),"",N(D189)-N(C189))</f>
        <v/>
      </c>
      <c r="F189" s="20"/>
    </row>
    <row r="190" customFormat="false" ht="15" hidden="false" customHeight="false" outlineLevel="0" collapsed="false">
      <c r="A190" s="20"/>
      <c r="B190" s="20"/>
      <c r="C190" s="22"/>
      <c r="D190" s="22"/>
      <c r="E190" s="25" t="str">
        <f aca="false">IF(AND(C190="",D190=""),"",N(D190)-N(C190))</f>
        <v/>
      </c>
      <c r="F190" s="20"/>
    </row>
    <row r="191" customFormat="false" ht="15" hidden="false" customHeight="false" outlineLevel="0" collapsed="false">
      <c r="A191" s="20"/>
      <c r="B191" s="20"/>
      <c r="C191" s="22"/>
      <c r="D191" s="22"/>
      <c r="E191" s="25" t="str">
        <f aca="false">IF(AND(C191="",D191=""),"",N(D191)-N(C191))</f>
        <v/>
      </c>
      <c r="F191" s="20"/>
    </row>
    <row r="192" customFormat="false" ht="15" hidden="false" customHeight="false" outlineLevel="0" collapsed="false">
      <c r="A192" s="20"/>
      <c r="B192" s="20"/>
      <c r="C192" s="22"/>
      <c r="D192" s="22"/>
      <c r="E192" s="25" t="str">
        <f aca="false">IF(AND(C192="",D192=""),"",N(D192)-N(C192))</f>
        <v/>
      </c>
      <c r="F192" s="20"/>
    </row>
    <row r="193" customFormat="false" ht="15" hidden="false" customHeight="false" outlineLevel="0" collapsed="false">
      <c r="A193" s="20"/>
      <c r="B193" s="20"/>
      <c r="C193" s="22"/>
      <c r="D193" s="22"/>
      <c r="E193" s="25" t="str">
        <f aca="false">IF(AND(C193="",D193=""),"",N(D193)-N(C193))</f>
        <v/>
      </c>
      <c r="F193" s="20"/>
    </row>
    <row r="194" customFormat="false" ht="15" hidden="false" customHeight="false" outlineLevel="0" collapsed="false">
      <c r="A194" s="20"/>
      <c r="B194" s="20"/>
      <c r="C194" s="22"/>
      <c r="D194" s="22"/>
      <c r="E194" s="25" t="str">
        <f aca="false">IF(AND(C194="",D194=""),"",N(D194)-N(C194))</f>
        <v/>
      </c>
      <c r="F194" s="20"/>
    </row>
    <row r="195" customFormat="false" ht="15" hidden="false" customHeight="false" outlineLevel="0" collapsed="false">
      <c r="A195" s="20"/>
      <c r="B195" s="20"/>
      <c r="C195" s="22"/>
      <c r="D195" s="22"/>
      <c r="E195" s="25" t="str">
        <f aca="false">IF(AND(C195="",D195=""),"",N(D195)-N(C195))</f>
        <v/>
      </c>
      <c r="F195" s="20"/>
    </row>
    <row r="196" customFormat="false" ht="15" hidden="false" customHeight="false" outlineLevel="0" collapsed="false">
      <c r="A196" s="20"/>
      <c r="B196" s="20"/>
      <c r="C196" s="22"/>
      <c r="D196" s="22"/>
      <c r="E196" s="25" t="str">
        <f aca="false">IF(AND(C196="",D196=""),"",N(D196)-N(C196))</f>
        <v/>
      </c>
      <c r="F196" s="20"/>
    </row>
    <row r="197" customFormat="false" ht="15" hidden="false" customHeight="false" outlineLevel="0" collapsed="false">
      <c r="A197" s="20"/>
      <c r="B197" s="20"/>
      <c r="C197" s="22"/>
      <c r="D197" s="22"/>
      <c r="E197" s="25" t="str">
        <f aca="false">IF(AND(C197="",D197=""),"",N(D197)-N(C197))</f>
        <v/>
      </c>
      <c r="F197" s="20"/>
    </row>
    <row r="198" customFormat="false" ht="15" hidden="false" customHeight="false" outlineLevel="0" collapsed="false">
      <c r="A198" s="20"/>
      <c r="B198" s="20"/>
      <c r="C198" s="22"/>
      <c r="D198" s="22"/>
      <c r="E198" s="25" t="str">
        <f aca="false">IF(AND(C198="",D198=""),"",N(D198)-N(C198))</f>
        <v/>
      </c>
      <c r="F198" s="20"/>
    </row>
    <row r="199" customFormat="false" ht="15" hidden="false" customHeight="false" outlineLevel="0" collapsed="false">
      <c r="A199" s="20"/>
      <c r="B199" s="20"/>
      <c r="C199" s="22"/>
      <c r="D199" s="22"/>
      <c r="E199" s="25" t="str">
        <f aca="false">IF(AND(C199="",D199=""),"",N(D199)-N(C199))</f>
        <v/>
      </c>
      <c r="F199" s="20"/>
    </row>
    <row r="200" customFormat="false" ht="15" hidden="false" customHeight="false" outlineLevel="0" collapsed="false">
      <c r="A200" s="20"/>
      <c r="B200" s="20"/>
      <c r="C200" s="22"/>
      <c r="D200" s="22"/>
      <c r="E200" s="25" t="str">
        <f aca="false">IF(AND(C200="",D200=""),"",N(D200)-N(C200))</f>
        <v/>
      </c>
      <c r="F200" s="20"/>
    </row>
    <row r="201" customFormat="false" ht="15" hidden="false" customHeight="false" outlineLevel="0" collapsed="false">
      <c r="A201" s="20"/>
      <c r="B201" s="20"/>
      <c r="C201" s="22"/>
      <c r="D201" s="22"/>
      <c r="E201" s="25" t="str">
        <f aca="false">IF(AND(C201="",D201=""),"",N(D201)-N(C201))</f>
        <v/>
      </c>
      <c r="F201" s="20"/>
    </row>
    <row r="202" customFormat="false" ht="15" hidden="false" customHeight="false" outlineLevel="0" collapsed="false">
      <c r="A202" s="20"/>
      <c r="B202" s="20"/>
      <c r="C202" s="22"/>
      <c r="D202" s="22"/>
      <c r="E202" s="25" t="str">
        <f aca="false">IF(AND(C202="",D202=""),"",N(D202)-N(C202))</f>
        <v/>
      </c>
      <c r="F202" s="20"/>
    </row>
    <row r="203" customFormat="false" ht="15" hidden="false" customHeight="false" outlineLevel="0" collapsed="false">
      <c r="A203" s="20"/>
      <c r="B203" s="20"/>
      <c r="C203" s="22"/>
      <c r="D203" s="22"/>
      <c r="E203" s="25" t="str">
        <f aca="false">IF(AND(C203="",D203=""),"",N(D203)-N(C203))</f>
        <v/>
      </c>
      <c r="F203" s="20"/>
    </row>
    <row r="204" customFormat="false" ht="15" hidden="false" customHeight="false" outlineLevel="0" collapsed="false">
      <c r="A204" s="20"/>
      <c r="B204" s="20"/>
      <c r="C204" s="22"/>
      <c r="D204" s="22"/>
      <c r="E204" s="25" t="str">
        <f aca="false">IF(AND(C204="",D204=""),"",N(D204)-N(C204))</f>
        <v/>
      </c>
      <c r="F204" s="20"/>
    </row>
  </sheetData>
  <dataValidations count="1">
    <dataValidation allowBlank="true" error="Informe um número maior ou igual a zero." errorStyle="stop" errorTitle="Valor inválido" operator="greaterThanOrEqual" showDropDown="false" showErrorMessage="true" showInputMessage="false" sqref="C5:D2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4" min="3" style="0" width="24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9" t="str">
        <f aca="false">HYPERLINK("#'Menu'!A1","◄ Voltar ao Menu")</f>
        <v>◄ Voltar ao Menu</v>
      </c>
    </row>
    <row r="2" customFormat="false" ht="17.35" hidden="false" customHeight="false" outlineLevel="0" collapsed="false">
      <c r="A2" s="10" t="s">
        <v>90</v>
      </c>
    </row>
    <row r="3" customFormat="false" ht="15" hidden="false" customHeight="false" outlineLevel="0" collapsed="false">
      <c r="A3" s="8" t="s">
        <v>91</v>
      </c>
    </row>
    <row r="4" customFormat="false" ht="31.5" hidden="false" customHeight="true" outlineLevel="0" collapsed="false">
      <c r="A4" s="18" t="s">
        <v>92</v>
      </c>
      <c r="B4" s="18" t="s">
        <v>93</v>
      </c>
      <c r="C4" s="18" t="s">
        <v>85</v>
      </c>
      <c r="D4" s="18" t="s">
        <v>86</v>
      </c>
      <c r="E4" s="18" t="s">
        <v>87</v>
      </c>
      <c r="F4" s="18" t="s">
        <v>66</v>
      </c>
    </row>
    <row r="5" customFormat="false" ht="15" hidden="false" customHeight="false" outlineLevel="0" collapsed="false">
      <c r="A5" s="20" t="s">
        <v>94</v>
      </c>
      <c r="B5" s="20" t="s">
        <v>95</v>
      </c>
      <c r="C5" s="22" t="n">
        <v>15000</v>
      </c>
      <c r="D5" s="22" t="n">
        <v>9000</v>
      </c>
      <c r="E5" s="25" t="n">
        <f aca="false">IF(AND(C5="",D5=""),"",N(D5)-N(C5))</f>
        <v>-6000</v>
      </c>
      <c r="F5" s="20" t="s">
        <v>70</v>
      </c>
    </row>
    <row r="6" customFormat="false" ht="15" hidden="false" customHeight="false" outlineLevel="0" collapsed="false">
      <c r="A6" s="20"/>
      <c r="B6" s="20"/>
      <c r="C6" s="22"/>
      <c r="D6" s="22"/>
      <c r="E6" s="25" t="str">
        <f aca="false">IF(AND(C6="",D6=""),"",N(D6)-N(C6))</f>
        <v/>
      </c>
      <c r="F6" s="20"/>
    </row>
    <row r="7" customFormat="false" ht="15" hidden="false" customHeight="false" outlineLevel="0" collapsed="false">
      <c r="A7" s="20"/>
      <c r="B7" s="20"/>
      <c r="C7" s="22"/>
      <c r="D7" s="22"/>
      <c r="E7" s="25" t="str">
        <f aca="false">IF(AND(C7="",D7=""),"",N(D7)-N(C7))</f>
        <v/>
      </c>
      <c r="F7" s="20"/>
    </row>
    <row r="8" customFormat="false" ht="15" hidden="false" customHeight="false" outlineLevel="0" collapsed="false">
      <c r="A8" s="20"/>
      <c r="B8" s="20"/>
      <c r="C8" s="22"/>
      <c r="D8" s="22"/>
      <c r="E8" s="25" t="str">
        <f aca="false">IF(AND(C8="",D8=""),"",N(D8)-N(C8))</f>
        <v/>
      </c>
      <c r="F8" s="20"/>
    </row>
    <row r="9" customFormat="false" ht="15" hidden="false" customHeight="false" outlineLevel="0" collapsed="false">
      <c r="A9" s="20"/>
      <c r="B9" s="20"/>
      <c r="C9" s="22"/>
      <c r="D9" s="22"/>
      <c r="E9" s="25" t="str">
        <f aca="false">IF(AND(C9="",D9=""),"",N(D9)-N(C9))</f>
        <v/>
      </c>
      <c r="F9" s="20"/>
    </row>
    <row r="10" customFormat="false" ht="15" hidden="false" customHeight="false" outlineLevel="0" collapsed="false">
      <c r="A10" s="20"/>
      <c r="B10" s="20"/>
      <c r="C10" s="22"/>
      <c r="D10" s="22"/>
      <c r="E10" s="25" t="str">
        <f aca="false">IF(AND(C10="",D10=""),"",N(D10)-N(C10))</f>
        <v/>
      </c>
      <c r="F10" s="20"/>
    </row>
    <row r="11" customFormat="false" ht="15" hidden="false" customHeight="false" outlineLevel="0" collapsed="false">
      <c r="A11" s="20"/>
      <c r="B11" s="20"/>
      <c r="C11" s="22"/>
      <c r="D11" s="22"/>
      <c r="E11" s="25" t="str">
        <f aca="false">IF(AND(C11="",D11=""),"",N(D11)-N(C11))</f>
        <v/>
      </c>
      <c r="F11" s="20"/>
    </row>
    <row r="12" customFormat="false" ht="15" hidden="false" customHeight="false" outlineLevel="0" collapsed="false">
      <c r="A12" s="20"/>
      <c r="B12" s="20"/>
      <c r="C12" s="22"/>
      <c r="D12" s="22"/>
      <c r="E12" s="25" t="str">
        <f aca="false">IF(AND(C12="",D12=""),"",N(D12)-N(C12))</f>
        <v/>
      </c>
      <c r="F12" s="20"/>
    </row>
    <row r="13" customFormat="false" ht="15" hidden="false" customHeight="false" outlineLevel="0" collapsed="false">
      <c r="A13" s="20"/>
      <c r="B13" s="20"/>
      <c r="C13" s="22"/>
      <c r="D13" s="22"/>
      <c r="E13" s="25" t="str">
        <f aca="false">IF(AND(C13="",D13=""),"",N(D13)-N(C13))</f>
        <v/>
      </c>
      <c r="F13" s="20"/>
    </row>
    <row r="14" customFormat="false" ht="15" hidden="false" customHeight="false" outlineLevel="0" collapsed="false">
      <c r="A14" s="20"/>
      <c r="B14" s="20"/>
      <c r="C14" s="22"/>
      <c r="D14" s="22"/>
      <c r="E14" s="25" t="str">
        <f aca="false">IF(AND(C14="",D14=""),"",N(D14)-N(C14))</f>
        <v/>
      </c>
      <c r="F14" s="20"/>
    </row>
    <row r="15" customFormat="false" ht="15" hidden="false" customHeight="false" outlineLevel="0" collapsed="false">
      <c r="A15" s="20"/>
      <c r="B15" s="20"/>
      <c r="C15" s="22"/>
      <c r="D15" s="22"/>
      <c r="E15" s="25" t="str">
        <f aca="false">IF(AND(C15="",D15=""),"",N(D15)-N(C15))</f>
        <v/>
      </c>
      <c r="F15" s="20"/>
    </row>
    <row r="16" customFormat="false" ht="15" hidden="false" customHeight="false" outlineLevel="0" collapsed="false">
      <c r="A16" s="20"/>
      <c r="B16" s="20"/>
      <c r="C16" s="22"/>
      <c r="D16" s="22"/>
      <c r="E16" s="25" t="str">
        <f aca="false">IF(AND(C16="",D16=""),"",N(D16)-N(C16))</f>
        <v/>
      </c>
      <c r="F16" s="20"/>
    </row>
    <row r="17" customFormat="false" ht="15" hidden="false" customHeight="false" outlineLevel="0" collapsed="false">
      <c r="A17" s="20"/>
      <c r="B17" s="20"/>
      <c r="C17" s="22"/>
      <c r="D17" s="22"/>
      <c r="E17" s="25" t="str">
        <f aca="false">IF(AND(C17="",D17=""),"",N(D17)-N(C17))</f>
        <v/>
      </c>
      <c r="F17" s="20"/>
    </row>
    <row r="18" customFormat="false" ht="15" hidden="false" customHeight="false" outlineLevel="0" collapsed="false">
      <c r="A18" s="20"/>
      <c r="B18" s="20"/>
      <c r="C18" s="22"/>
      <c r="D18" s="22"/>
      <c r="E18" s="25" t="str">
        <f aca="false">IF(AND(C18="",D18=""),"",N(D18)-N(C18))</f>
        <v/>
      </c>
      <c r="F18" s="20"/>
    </row>
    <row r="19" customFormat="false" ht="15" hidden="false" customHeight="false" outlineLevel="0" collapsed="false">
      <c r="A19" s="20"/>
      <c r="B19" s="20"/>
      <c r="C19" s="22"/>
      <c r="D19" s="22"/>
      <c r="E19" s="25" t="str">
        <f aca="false">IF(AND(C19="",D19=""),"",N(D19)-N(C19))</f>
        <v/>
      </c>
      <c r="F19" s="20"/>
    </row>
    <row r="20" customFormat="false" ht="15" hidden="false" customHeight="false" outlineLevel="0" collapsed="false">
      <c r="A20" s="20"/>
      <c r="B20" s="20"/>
      <c r="C20" s="22"/>
      <c r="D20" s="22"/>
      <c r="E20" s="25" t="str">
        <f aca="false">IF(AND(C20="",D20=""),"",N(D20)-N(C20))</f>
        <v/>
      </c>
      <c r="F20" s="20"/>
    </row>
    <row r="21" customFormat="false" ht="15" hidden="false" customHeight="false" outlineLevel="0" collapsed="false">
      <c r="A21" s="20"/>
      <c r="B21" s="20"/>
      <c r="C21" s="22"/>
      <c r="D21" s="22"/>
      <c r="E21" s="25" t="str">
        <f aca="false">IF(AND(C21="",D21=""),"",N(D21)-N(C21))</f>
        <v/>
      </c>
      <c r="F21" s="20"/>
    </row>
    <row r="22" customFormat="false" ht="15" hidden="false" customHeight="false" outlineLevel="0" collapsed="false">
      <c r="A22" s="20"/>
      <c r="B22" s="20"/>
      <c r="C22" s="22"/>
      <c r="D22" s="22"/>
      <c r="E22" s="25" t="str">
        <f aca="false">IF(AND(C22="",D22=""),"",N(D22)-N(C22))</f>
        <v/>
      </c>
      <c r="F22" s="20"/>
    </row>
    <row r="23" customFormat="false" ht="15" hidden="false" customHeight="false" outlineLevel="0" collapsed="false">
      <c r="A23" s="20"/>
      <c r="B23" s="20"/>
      <c r="C23" s="22"/>
      <c r="D23" s="22"/>
      <c r="E23" s="25" t="str">
        <f aca="false">IF(AND(C23="",D23=""),"",N(D23)-N(C23))</f>
        <v/>
      </c>
      <c r="F23" s="20"/>
    </row>
    <row r="24" customFormat="false" ht="15" hidden="false" customHeight="false" outlineLevel="0" collapsed="false">
      <c r="A24" s="20"/>
      <c r="B24" s="20"/>
      <c r="C24" s="22"/>
      <c r="D24" s="22"/>
      <c r="E24" s="25" t="str">
        <f aca="false">IF(AND(C24="",D24=""),"",N(D24)-N(C24))</f>
        <v/>
      </c>
      <c r="F24" s="20"/>
    </row>
    <row r="25" customFormat="false" ht="15" hidden="false" customHeight="false" outlineLevel="0" collapsed="false">
      <c r="A25" s="20"/>
      <c r="B25" s="20"/>
      <c r="C25" s="22"/>
      <c r="D25" s="22"/>
      <c r="E25" s="25" t="str">
        <f aca="false">IF(AND(C25="",D25=""),"",N(D25)-N(C25))</f>
        <v/>
      </c>
      <c r="F25" s="20"/>
    </row>
    <row r="26" customFormat="false" ht="15" hidden="false" customHeight="false" outlineLevel="0" collapsed="false">
      <c r="A26" s="20"/>
      <c r="B26" s="20"/>
      <c r="C26" s="22"/>
      <c r="D26" s="22"/>
      <c r="E26" s="25" t="str">
        <f aca="false">IF(AND(C26="",D26=""),"",N(D26)-N(C26))</f>
        <v/>
      </c>
      <c r="F26" s="20"/>
    </row>
    <row r="27" customFormat="false" ht="15" hidden="false" customHeight="false" outlineLevel="0" collapsed="false">
      <c r="A27" s="20"/>
      <c r="B27" s="20"/>
      <c r="C27" s="22"/>
      <c r="D27" s="22"/>
      <c r="E27" s="25" t="str">
        <f aca="false">IF(AND(C27="",D27=""),"",N(D27)-N(C27))</f>
        <v/>
      </c>
      <c r="F27" s="20"/>
    </row>
    <row r="28" customFormat="false" ht="15" hidden="false" customHeight="false" outlineLevel="0" collapsed="false">
      <c r="A28" s="20"/>
      <c r="B28" s="20"/>
      <c r="C28" s="22"/>
      <c r="D28" s="22"/>
      <c r="E28" s="25" t="str">
        <f aca="false">IF(AND(C28="",D28=""),"",N(D28)-N(C28))</f>
        <v/>
      </c>
      <c r="F28" s="20"/>
    </row>
    <row r="29" customFormat="false" ht="15" hidden="false" customHeight="false" outlineLevel="0" collapsed="false">
      <c r="A29" s="20"/>
      <c r="B29" s="20"/>
      <c r="C29" s="22"/>
      <c r="D29" s="22"/>
      <c r="E29" s="25" t="str">
        <f aca="false">IF(AND(C29="",D29=""),"",N(D29)-N(C29))</f>
        <v/>
      </c>
      <c r="F29" s="20"/>
    </row>
    <row r="30" customFormat="false" ht="15" hidden="false" customHeight="false" outlineLevel="0" collapsed="false">
      <c r="A30" s="20"/>
      <c r="B30" s="20"/>
      <c r="C30" s="22"/>
      <c r="D30" s="22"/>
      <c r="E30" s="25" t="str">
        <f aca="false">IF(AND(C30="",D30=""),"",N(D30)-N(C30))</f>
        <v/>
      </c>
      <c r="F30" s="20"/>
    </row>
    <row r="31" customFormat="false" ht="15" hidden="false" customHeight="false" outlineLevel="0" collapsed="false">
      <c r="A31" s="20"/>
      <c r="B31" s="20"/>
      <c r="C31" s="22"/>
      <c r="D31" s="22"/>
      <c r="E31" s="25" t="str">
        <f aca="false">IF(AND(C31="",D31=""),"",N(D31)-N(C31))</f>
        <v/>
      </c>
      <c r="F31" s="20"/>
    </row>
    <row r="32" customFormat="false" ht="15" hidden="false" customHeight="false" outlineLevel="0" collapsed="false">
      <c r="A32" s="20"/>
      <c r="B32" s="20"/>
      <c r="C32" s="22"/>
      <c r="D32" s="22"/>
      <c r="E32" s="25" t="str">
        <f aca="false">IF(AND(C32="",D32=""),"",N(D32)-N(C32))</f>
        <v/>
      </c>
      <c r="F32" s="20"/>
    </row>
    <row r="33" customFormat="false" ht="15" hidden="false" customHeight="false" outlineLevel="0" collapsed="false">
      <c r="A33" s="20"/>
      <c r="B33" s="20"/>
      <c r="C33" s="22"/>
      <c r="D33" s="22"/>
      <c r="E33" s="25" t="str">
        <f aca="false">IF(AND(C33="",D33=""),"",N(D33)-N(C33))</f>
        <v/>
      </c>
      <c r="F33" s="20"/>
    </row>
    <row r="34" customFormat="false" ht="15" hidden="false" customHeight="false" outlineLevel="0" collapsed="false">
      <c r="A34" s="20"/>
      <c r="B34" s="20"/>
      <c r="C34" s="22"/>
      <c r="D34" s="22"/>
      <c r="E34" s="25" t="str">
        <f aca="false">IF(AND(C34="",D34=""),"",N(D34)-N(C34))</f>
        <v/>
      </c>
      <c r="F34" s="20"/>
    </row>
    <row r="35" customFormat="false" ht="15" hidden="false" customHeight="false" outlineLevel="0" collapsed="false">
      <c r="A35" s="20"/>
      <c r="B35" s="20"/>
      <c r="C35" s="22"/>
      <c r="D35" s="22"/>
      <c r="E35" s="25" t="str">
        <f aca="false">IF(AND(C35="",D35=""),"",N(D35)-N(C35))</f>
        <v/>
      </c>
      <c r="F35" s="20"/>
    </row>
    <row r="36" customFormat="false" ht="15" hidden="false" customHeight="false" outlineLevel="0" collapsed="false">
      <c r="A36" s="20"/>
      <c r="B36" s="20"/>
      <c r="C36" s="22"/>
      <c r="D36" s="22"/>
      <c r="E36" s="25" t="str">
        <f aca="false">IF(AND(C36="",D36=""),"",N(D36)-N(C36))</f>
        <v/>
      </c>
      <c r="F36" s="20"/>
    </row>
    <row r="37" customFormat="false" ht="15" hidden="false" customHeight="false" outlineLevel="0" collapsed="false">
      <c r="A37" s="20"/>
      <c r="B37" s="20"/>
      <c r="C37" s="22"/>
      <c r="D37" s="22"/>
      <c r="E37" s="25" t="str">
        <f aca="false">IF(AND(C37="",D37=""),"",N(D37)-N(C37))</f>
        <v/>
      </c>
      <c r="F37" s="20"/>
    </row>
    <row r="38" customFormat="false" ht="15" hidden="false" customHeight="false" outlineLevel="0" collapsed="false">
      <c r="A38" s="20"/>
      <c r="B38" s="20"/>
      <c r="C38" s="22"/>
      <c r="D38" s="22"/>
      <c r="E38" s="25" t="str">
        <f aca="false">IF(AND(C38="",D38=""),"",N(D38)-N(C38))</f>
        <v/>
      </c>
      <c r="F38" s="20"/>
    </row>
    <row r="39" customFormat="false" ht="15" hidden="false" customHeight="false" outlineLevel="0" collapsed="false">
      <c r="A39" s="20"/>
      <c r="B39" s="20"/>
      <c r="C39" s="22"/>
      <c r="D39" s="22"/>
      <c r="E39" s="25" t="str">
        <f aca="false">IF(AND(C39="",D39=""),"",N(D39)-N(C39))</f>
        <v/>
      </c>
      <c r="F39" s="20"/>
    </row>
    <row r="40" customFormat="false" ht="15" hidden="false" customHeight="false" outlineLevel="0" collapsed="false">
      <c r="A40" s="20"/>
      <c r="B40" s="20"/>
      <c r="C40" s="22"/>
      <c r="D40" s="22"/>
      <c r="E40" s="25" t="str">
        <f aca="false">IF(AND(C40="",D40=""),"",N(D40)-N(C40))</f>
        <v/>
      </c>
      <c r="F40" s="20"/>
    </row>
    <row r="41" customFormat="false" ht="15" hidden="false" customHeight="false" outlineLevel="0" collapsed="false">
      <c r="A41" s="20"/>
      <c r="B41" s="20"/>
      <c r="C41" s="22"/>
      <c r="D41" s="22"/>
      <c r="E41" s="25" t="str">
        <f aca="false">IF(AND(C41="",D41=""),"",N(D41)-N(C41))</f>
        <v/>
      </c>
      <c r="F41" s="20"/>
    </row>
    <row r="42" customFormat="false" ht="15" hidden="false" customHeight="false" outlineLevel="0" collapsed="false">
      <c r="A42" s="20"/>
      <c r="B42" s="20"/>
      <c r="C42" s="22"/>
      <c r="D42" s="22"/>
      <c r="E42" s="25" t="str">
        <f aca="false">IF(AND(C42="",D42=""),"",N(D42)-N(C42))</f>
        <v/>
      </c>
      <c r="F42" s="20"/>
    </row>
    <row r="43" customFormat="false" ht="15" hidden="false" customHeight="false" outlineLevel="0" collapsed="false">
      <c r="A43" s="20"/>
      <c r="B43" s="20"/>
      <c r="C43" s="22"/>
      <c r="D43" s="22"/>
      <c r="E43" s="25" t="str">
        <f aca="false">IF(AND(C43="",D43=""),"",N(D43)-N(C43))</f>
        <v/>
      </c>
      <c r="F43" s="20"/>
    </row>
    <row r="44" customFormat="false" ht="15" hidden="false" customHeight="false" outlineLevel="0" collapsed="false">
      <c r="A44" s="20"/>
      <c r="B44" s="20"/>
      <c r="C44" s="22"/>
      <c r="D44" s="22"/>
      <c r="E44" s="25" t="str">
        <f aca="false">IF(AND(C44="",D44=""),"",N(D44)-N(C44))</f>
        <v/>
      </c>
      <c r="F44" s="20"/>
    </row>
    <row r="45" customFormat="false" ht="15" hidden="false" customHeight="false" outlineLevel="0" collapsed="false">
      <c r="A45" s="20"/>
      <c r="B45" s="20"/>
      <c r="C45" s="22"/>
      <c r="D45" s="22"/>
      <c r="E45" s="25" t="str">
        <f aca="false">IF(AND(C45="",D45=""),"",N(D45)-N(C45))</f>
        <v/>
      </c>
      <c r="F45" s="20"/>
    </row>
    <row r="46" customFormat="false" ht="15" hidden="false" customHeight="false" outlineLevel="0" collapsed="false">
      <c r="A46" s="20"/>
      <c r="B46" s="20"/>
      <c r="C46" s="22"/>
      <c r="D46" s="22"/>
      <c r="E46" s="25" t="str">
        <f aca="false">IF(AND(C46="",D46=""),"",N(D46)-N(C46))</f>
        <v/>
      </c>
      <c r="F46" s="20"/>
    </row>
    <row r="47" customFormat="false" ht="15" hidden="false" customHeight="false" outlineLevel="0" collapsed="false">
      <c r="A47" s="20"/>
      <c r="B47" s="20"/>
      <c r="C47" s="22"/>
      <c r="D47" s="22"/>
      <c r="E47" s="25" t="str">
        <f aca="false">IF(AND(C47="",D47=""),"",N(D47)-N(C47))</f>
        <v/>
      </c>
      <c r="F47" s="20"/>
    </row>
    <row r="48" customFormat="false" ht="15" hidden="false" customHeight="false" outlineLevel="0" collapsed="false">
      <c r="A48" s="20"/>
      <c r="B48" s="20"/>
      <c r="C48" s="22"/>
      <c r="D48" s="22"/>
      <c r="E48" s="25" t="str">
        <f aca="false">IF(AND(C48="",D48=""),"",N(D48)-N(C48))</f>
        <v/>
      </c>
      <c r="F48" s="20"/>
    </row>
    <row r="49" customFormat="false" ht="15" hidden="false" customHeight="false" outlineLevel="0" collapsed="false">
      <c r="A49" s="20"/>
      <c r="B49" s="20"/>
      <c r="C49" s="22"/>
      <c r="D49" s="22"/>
      <c r="E49" s="25" t="str">
        <f aca="false">IF(AND(C49="",D49=""),"",N(D49)-N(C49))</f>
        <v/>
      </c>
      <c r="F49" s="20"/>
    </row>
    <row r="50" customFormat="false" ht="15" hidden="false" customHeight="false" outlineLevel="0" collapsed="false">
      <c r="A50" s="20"/>
      <c r="B50" s="20"/>
      <c r="C50" s="22"/>
      <c r="D50" s="22"/>
      <c r="E50" s="25" t="str">
        <f aca="false">IF(AND(C50="",D50=""),"",N(D50)-N(C50))</f>
        <v/>
      </c>
      <c r="F50" s="20"/>
    </row>
    <row r="51" customFormat="false" ht="15" hidden="false" customHeight="false" outlineLevel="0" collapsed="false">
      <c r="A51" s="20"/>
      <c r="B51" s="20"/>
      <c r="C51" s="22"/>
      <c r="D51" s="22"/>
      <c r="E51" s="25" t="str">
        <f aca="false">IF(AND(C51="",D51=""),"",N(D51)-N(C51))</f>
        <v/>
      </c>
      <c r="F51" s="20"/>
    </row>
    <row r="52" customFormat="false" ht="15" hidden="false" customHeight="false" outlineLevel="0" collapsed="false">
      <c r="A52" s="20"/>
      <c r="B52" s="20"/>
      <c r="C52" s="22"/>
      <c r="D52" s="22"/>
      <c r="E52" s="25" t="str">
        <f aca="false">IF(AND(C52="",D52=""),"",N(D52)-N(C52))</f>
        <v/>
      </c>
      <c r="F52" s="20"/>
    </row>
    <row r="53" customFormat="false" ht="15" hidden="false" customHeight="false" outlineLevel="0" collapsed="false">
      <c r="A53" s="20"/>
      <c r="B53" s="20"/>
      <c r="C53" s="22"/>
      <c r="D53" s="22"/>
      <c r="E53" s="25" t="str">
        <f aca="false">IF(AND(C53="",D53=""),"",N(D53)-N(C53))</f>
        <v/>
      </c>
      <c r="F53" s="20"/>
    </row>
    <row r="54" customFormat="false" ht="15" hidden="false" customHeight="false" outlineLevel="0" collapsed="false">
      <c r="A54" s="20"/>
      <c r="B54" s="20"/>
      <c r="C54" s="22"/>
      <c r="D54" s="22"/>
      <c r="E54" s="25" t="str">
        <f aca="false">IF(AND(C54="",D54=""),"",N(D54)-N(C54))</f>
        <v/>
      </c>
      <c r="F54" s="20"/>
    </row>
    <row r="55" customFormat="false" ht="15" hidden="false" customHeight="false" outlineLevel="0" collapsed="false">
      <c r="A55" s="20"/>
      <c r="B55" s="20"/>
      <c r="C55" s="22"/>
      <c r="D55" s="22"/>
      <c r="E55" s="25" t="str">
        <f aca="false">IF(AND(C55="",D55=""),"",N(D55)-N(C55))</f>
        <v/>
      </c>
      <c r="F55" s="20"/>
    </row>
    <row r="56" customFormat="false" ht="15" hidden="false" customHeight="false" outlineLevel="0" collapsed="false">
      <c r="A56" s="20"/>
      <c r="B56" s="20"/>
      <c r="C56" s="22"/>
      <c r="D56" s="22"/>
      <c r="E56" s="25" t="str">
        <f aca="false">IF(AND(C56="",D56=""),"",N(D56)-N(C56))</f>
        <v/>
      </c>
      <c r="F56" s="20"/>
    </row>
    <row r="57" customFormat="false" ht="15" hidden="false" customHeight="false" outlineLevel="0" collapsed="false">
      <c r="A57" s="20"/>
      <c r="B57" s="20"/>
      <c r="C57" s="22"/>
      <c r="D57" s="22"/>
      <c r="E57" s="25" t="str">
        <f aca="false">IF(AND(C57="",D57=""),"",N(D57)-N(C57))</f>
        <v/>
      </c>
      <c r="F57" s="20"/>
    </row>
    <row r="58" customFormat="false" ht="15" hidden="false" customHeight="false" outlineLevel="0" collapsed="false">
      <c r="A58" s="20"/>
      <c r="B58" s="20"/>
      <c r="C58" s="22"/>
      <c r="D58" s="22"/>
      <c r="E58" s="25" t="str">
        <f aca="false">IF(AND(C58="",D58=""),"",N(D58)-N(C58))</f>
        <v/>
      </c>
      <c r="F58" s="20"/>
    </row>
    <row r="59" customFormat="false" ht="15" hidden="false" customHeight="false" outlineLevel="0" collapsed="false">
      <c r="A59" s="20"/>
      <c r="B59" s="20"/>
      <c r="C59" s="22"/>
      <c r="D59" s="22"/>
      <c r="E59" s="25" t="str">
        <f aca="false">IF(AND(C59="",D59=""),"",N(D59)-N(C59))</f>
        <v/>
      </c>
      <c r="F59" s="20"/>
    </row>
    <row r="60" customFormat="false" ht="15" hidden="false" customHeight="false" outlineLevel="0" collapsed="false">
      <c r="A60" s="20"/>
      <c r="B60" s="20"/>
      <c r="C60" s="22"/>
      <c r="D60" s="22"/>
      <c r="E60" s="25" t="str">
        <f aca="false">IF(AND(C60="",D60=""),"",N(D60)-N(C60))</f>
        <v/>
      </c>
      <c r="F60" s="20"/>
    </row>
    <row r="61" customFormat="false" ht="15" hidden="false" customHeight="false" outlineLevel="0" collapsed="false">
      <c r="A61" s="20"/>
      <c r="B61" s="20"/>
      <c r="C61" s="22"/>
      <c r="D61" s="22"/>
      <c r="E61" s="25" t="str">
        <f aca="false">IF(AND(C61="",D61=""),"",N(D61)-N(C61))</f>
        <v/>
      </c>
      <c r="F61" s="20"/>
    </row>
    <row r="62" customFormat="false" ht="15" hidden="false" customHeight="false" outlineLevel="0" collapsed="false">
      <c r="A62" s="20"/>
      <c r="B62" s="20"/>
      <c r="C62" s="22"/>
      <c r="D62" s="22"/>
      <c r="E62" s="25" t="str">
        <f aca="false">IF(AND(C62="",D62=""),"",N(D62)-N(C62))</f>
        <v/>
      </c>
      <c r="F62" s="20"/>
    </row>
    <row r="63" customFormat="false" ht="15" hidden="false" customHeight="false" outlineLevel="0" collapsed="false">
      <c r="A63" s="20"/>
      <c r="B63" s="20"/>
      <c r="C63" s="22"/>
      <c r="D63" s="22"/>
      <c r="E63" s="25" t="str">
        <f aca="false">IF(AND(C63="",D63=""),"",N(D63)-N(C63))</f>
        <v/>
      </c>
      <c r="F63" s="20"/>
    </row>
    <row r="64" customFormat="false" ht="15" hidden="false" customHeight="false" outlineLevel="0" collapsed="false">
      <c r="A64" s="20"/>
      <c r="B64" s="20"/>
      <c r="C64" s="22"/>
      <c r="D64" s="22"/>
      <c r="E64" s="25" t="str">
        <f aca="false">IF(AND(C64="",D64=""),"",N(D64)-N(C64))</f>
        <v/>
      </c>
      <c r="F64" s="20"/>
    </row>
    <row r="65" customFormat="false" ht="15" hidden="false" customHeight="false" outlineLevel="0" collapsed="false">
      <c r="A65" s="20"/>
      <c r="B65" s="20"/>
      <c r="C65" s="22"/>
      <c r="D65" s="22"/>
      <c r="E65" s="25" t="str">
        <f aca="false">IF(AND(C65="",D65=""),"",N(D65)-N(C65))</f>
        <v/>
      </c>
      <c r="F65" s="20"/>
    </row>
    <row r="66" customFormat="false" ht="15" hidden="false" customHeight="false" outlineLevel="0" collapsed="false">
      <c r="A66" s="20"/>
      <c r="B66" s="20"/>
      <c r="C66" s="22"/>
      <c r="D66" s="22"/>
      <c r="E66" s="25" t="str">
        <f aca="false">IF(AND(C66="",D66=""),"",N(D66)-N(C66))</f>
        <v/>
      </c>
      <c r="F66" s="20"/>
    </row>
    <row r="67" customFormat="false" ht="15" hidden="false" customHeight="false" outlineLevel="0" collapsed="false">
      <c r="A67" s="20"/>
      <c r="B67" s="20"/>
      <c r="C67" s="22"/>
      <c r="D67" s="22"/>
      <c r="E67" s="25" t="str">
        <f aca="false">IF(AND(C67="",D67=""),"",N(D67)-N(C67))</f>
        <v/>
      </c>
      <c r="F67" s="20"/>
    </row>
    <row r="68" customFormat="false" ht="15" hidden="false" customHeight="false" outlineLevel="0" collapsed="false">
      <c r="A68" s="20"/>
      <c r="B68" s="20"/>
      <c r="C68" s="22"/>
      <c r="D68" s="22"/>
      <c r="E68" s="25" t="str">
        <f aca="false">IF(AND(C68="",D68=""),"",N(D68)-N(C68))</f>
        <v/>
      </c>
      <c r="F68" s="20"/>
    </row>
    <row r="69" customFormat="false" ht="15" hidden="false" customHeight="false" outlineLevel="0" collapsed="false">
      <c r="A69" s="20"/>
      <c r="B69" s="20"/>
      <c r="C69" s="22"/>
      <c r="D69" s="22"/>
      <c r="E69" s="25" t="str">
        <f aca="false">IF(AND(C69="",D69=""),"",N(D69)-N(C69))</f>
        <v/>
      </c>
      <c r="F69" s="20"/>
    </row>
    <row r="70" customFormat="false" ht="15" hidden="false" customHeight="false" outlineLevel="0" collapsed="false">
      <c r="A70" s="20"/>
      <c r="B70" s="20"/>
      <c r="C70" s="22"/>
      <c r="D70" s="22"/>
      <c r="E70" s="25" t="str">
        <f aca="false">IF(AND(C70="",D70=""),"",N(D70)-N(C70))</f>
        <v/>
      </c>
      <c r="F70" s="20"/>
    </row>
    <row r="71" customFormat="false" ht="15" hidden="false" customHeight="false" outlineLevel="0" collapsed="false">
      <c r="A71" s="20"/>
      <c r="B71" s="20"/>
      <c r="C71" s="22"/>
      <c r="D71" s="22"/>
      <c r="E71" s="25" t="str">
        <f aca="false">IF(AND(C71="",D71=""),"",N(D71)-N(C71))</f>
        <v/>
      </c>
      <c r="F71" s="20"/>
    </row>
    <row r="72" customFormat="false" ht="15" hidden="false" customHeight="false" outlineLevel="0" collapsed="false">
      <c r="A72" s="20"/>
      <c r="B72" s="20"/>
      <c r="C72" s="22"/>
      <c r="D72" s="22"/>
      <c r="E72" s="25" t="str">
        <f aca="false">IF(AND(C72="",D72=""),"",N(D72)-N(C72))</f>
        <v/>
      </c>
      <c r="F72" s="20"/>
    </row>
    <row r="73" customFormat="false" ht="15" hidden="false" customHeight="false" outlineLevel="0" collapsed="false">
      <c r="A73" s="20"/>
      <c r="B73" s="20"/>
      <c r="C73" s="22"/>
      <c r="D73" s="22"/>
      <c r="E73" s="25" t="str">
        <f aca="false">IF(AND(C73="",D73=""),"",N(D73)-N(C73))</f>
        <v/>
      </c>
      <c r="F73" s="20"/>
    </row>
    <row r="74" customFormat="false" ht="15" hidden="false" customHeight="false" outlineLevel="0" collapsed="false">
      <c r="A74" s="20"/>
      <c r="B74" s="20"/>
      <c r="C74" s="22"/>
      <c r="D74" s="22"/>
      <c r="E74" s="25" t="str">
        <f aca="false">IF(AND(C74="",D74=""),"",N(D74)-N(C74))</f>
        <v/>
      </c>
      <c r="F74" s="20"/>
    </row>
    <row r="75" customFormat="false" ht="15" hidden="false" customHeight="false" outlineLevel="0" collapsed="false">
      <c r="A75" s="20"/>
      <c r="B75" s="20"/>
      <c r="C75" s="22"/>
      <c r="D75" s="22"/>
      <c r="E75" s="25" t="str">
        <f aca="false">IF(AND(C75="",D75=""),"",N(D75)-N(C75))</f>
        <v/>
      </c>
      <c r="F75" s="20"/>
    </row>
    <row r="76" customFormat="false" ht="15" hidden="false" customHeight="false" outlineLevel="0" collapsed="false">
      <c r="A76" s="20"/>
      <c r="B76" s="20"/>
      <c r="C76" s="22"/>
      <c r="D76" s="22"/>
      <c r="E76" s="25" t="str">
        <f aca="false">IF(AND(C76="",D76=""),"",N(D76)-N(C76))</f>
        <v/>
      </c>
      <c r="F76" s="20"/>
    </row>
    <row r="77" customFormat="false" ht="15" hidden="false" customHeight="false" outlineLevel="0" collapsed="false">
      <c r="A77" s="20"/>
      <c r="B77" s="20"/>
      <c r="C77" s="22"/>
      <c r="D77" s="22"/>
      <c r="E77" s="25" t="str">
        <f aca="false">IF(AND(C77="",D77=""),"",N(D77)-N(C77))</f>
        <v/>
      </c>
      <c r="F77" s="20"/>
    </row>
    <row r="78" customFormat="false" ht="15" hidden="false" customHeight="false" outlineLevel="0" collapsed="false">
      <c r="A78" s="20"/>
      <c r="B78" s="20"/>
      <c r="C78" s="22"/>
      <c r="D78" s="22"/>
      <c r="E78" s="25" t="str">
        <f aca="false">IF(AND(C78="",D78=""),"",N(D78)-N(C78))</f>
        <v/>
      </c>
      <c r="F78" s="20"/>
    </row>
    <row r="79" customFormat="false" ht="15" hidden="false" customHeight="false" outlineLevel="0" collapsed="false">
      <c r="A79" s="20"/>
      <c r="B79" s="20"/>
      <c r="C79" s="22"/>
      <c r="D79" s="22"/>
      <c r="E79" s="25" t="str">
        <f aca="false">IF(AND(C79="",D79=""),"",N(D79)-N(C79))</f>
        <v/>
      </c>
      <c r="F79" s="20"/>
    </row>
    <row r="80" customFormat="false" ht="15" hidden="false" customHeight="false" outlineLevel="0" collapsed="false">
      <c r="A80" s="20"/>
      <c r="B80" s="20"/>
      <c r="C80" s="22"/>
      <c r="D80" s="22"/>
      <c r="E80" s="25" t="str">
        <f aca="false">IF(AND(C80="",D80=""),"",N(D80)-N(C80))</f>
        <v/>
      </c>
      <c r="F80" s="20"/>
    </row>
    <row r="81" customFormat="false" ht="15" hidden="false" customHeight="false" outlineLevel="0" collapsed="false">
      <c r="A81" s="20"/>
      <c r="B81" s="20"/>
      <c r="C81" s="22"/>
      <c r="D81" s="22"/>
      <c r="E81" s="25" t="str">
        <f aca="false">IF(AND(C81="",D81=""),"",N(D81)-N(C81))</f>
        <v/>
      </c>
      <c r="F81" s="20"/>
    </row>
    <row r="82" customFormat="false" ht="15" hidden="false" customHeight="false" outlineLevel="0" collapsed="false">
      <c r="A82" s="20"/>
      <c r="B82" s="20"/>
      <c r="C82" s="22"/>
      <c r="D82" s="22"/>
      <c r="E82" s="25" t="str">
        <f aca="false">IF(AND(C82="",D82=""),"",N(D82)-N(C82))</f>
        <v/>
      </c>
      <c r="F82" s="20"/>
    </row>
    <row r="83" customFormat="false" ht="15" hidden="false" customHeight="false" outlineLevel="0" collapsed="false">
      <c r="A83" s="20"/>
      <c r="B83" s="20"/>
      <c r="C83" s="22"/>
      <c r="D83" s="22"/>
      <c r="E83" s="25" t="str">
        <f aca="false">IF(AND(C83="",D83=""),"",N(D83)-N(C83))</f>
        <v/>
      </c>
      <c r="F83" s="20"/>
    </row>
    <row r="84" customFormat="false" ht="15" hidden="false" customHeight="false" outlineLevel="0" collapsed="false">
      <c r="A84" s="20"/>
      <c r="B84" s="20"/>
      <c r="C84" s="22"/>
      <c r="D84" s="22"/>
      <c r="E84" s="25" t="str">
        <f aca="false">IF(AND(C84="",D84=""),"",N(D84)-N(C84))</f>
        <v/>
      </c>
      <c r="F84" s="20"/>
    </row>
    <row r="85" customFormat="false" ht="15" hidden="false" customHeight="false" outlineLevel="0" collapsed="false">
      <c r="A85" s="20"/>
      <c r="B85" s="20"/>
      <c r="C85" s="22"/>
      <c r="D85" s="22"/>
      <c r="E85" s="25" t="str">
        <f aca="false">IF(AND(C85="",D85=""),"",N(D85)-N(C85))</f>
        <v/>
      </c>
      <c r="F85" s="20"/>
    </row>
    <row r="86" customFormat="false" ht="15" hidden="false" customHeight="false" outlineLevel="0" collapsed="false">
      <c r="A86" s="20"/>
      <c r="B86" s="20"/>
      <c r="C86" s="22"/>
      <c r="D86" s="22"/>
      <c r="E86" s="25" t="str">
        <f aca="false">IF(AND(C86="",D86=""),"",N(D86)-N(C86))</f>
        <v/>
      </c>
      <c r="F86" s="20"/>
    </row>
    <row r="87" customFormat="false" ht="15" hidden="false" customHeight="false" outlineLevel="0" collapsed="false">
      <c r="A87" s="20"/>
      <c r="B87" s="20"/>
      <c r="C87" s="22"/>
      <c r="D87" s="22"/>
      <c r="E87" s="25" t="str">
        <f aca="false">IF(AND(C87="",D87=""),"",N(D87)-N(C87))</f>
        <v/>
      </c>
      <c r="F87" s="20"/>
    </row>
    <row r="88" customFormat="false" ht="15" hidden="false" customHeight="false" outlineLevel="0" collapsed="false">
      <c r="A88" s="20"/>
      <c r="B88" s="20"/>
      <c r="C88" s="22"/>
      <c r="D88" s="22"/>
      <c r="E88" s="25" t="str">
        <f aca="false">IF(AND(C88="",D88=""),"",N(D88)-N(C88))</f>
        <v/>
      </c>
      <c r="F88" s="20"/>
    </row>
    <row r="89" customFormat="false" ht="15" hidden="false" customHeight="false" outlineLevel="0" collapsed="false">
      <c r="A89" s="20"/>
      <c r="B89" s="20"/>
      <c r="C89" s="22"/>
      <c r="D89" s="22"/>
      <c r="E89" s="25" t="str">
        <f aca="false">IF(AND(C89="",D89=""),"",N(D89)-N(C89))</f>
        <v/>
      </c>
      <c r="F89" s="20"/>
    </row>
    <row r="90" customFormat="false" ht="15" hidden="false" customHeight="false" outlineLevel="0" collapsed="false">
      <c r="A90" s="20"/>
      <c r="B90" s="20"/>
      <c r="C90" s="22"/>
      <c r="D90" s="22"/>
      <c r="E90" s="25" t="str">
        <f aca="false">IF(AND(C90="",D90=""),"",N(D90)-N(C90))</f>
        <v/>
      </c>
      <c r="F90" s="20"/>
    </row>
    <row r="91" customFormat="false" ht="15" hidden="false" customHeight="false" outlineLevel="0" collapsed="false">
      <c r="A91" s="20"/>
      <c r="B91" s="20"/>
      <c r="C91" s="22"/>
      <c r="D91" s="22"/>
      <c r="E91" s="25" t="str">
        <f aca="false">IF(AND(C91="",D91=""),"",N(D91)-N(C91))</f>
        <v/>
      </c>
      <c r="F91" s="20"/>
    </row>
    <row r="92" customFormat="false" ht="15" hidden="false" customHeight="false" outlineLevel="0" collapsed="false">
      <c r="A92" s="20"/>
      <c r="B92" s="20"/>
      <c r="C92" s="22"/>
      <c r="D92" s="22"/>
      <c r="E92" s="25" t="str">
        <f aca="false">IF(AND(C92="",D92=""),"",N(D92)-N(C92))</f>
        <v/>
      </c>
      <c r="F92" s="20"/>
    </row>
    <row r="93" customFormat="false" ht="15" hidden="false" customHeight="false" outlineLevel="0" collapsed="false">
      <c r="A93" s="20"/>
      <c r="B93" s="20"/>
      <c r="C93" s="22"/>
      <c r="D93" s="22"/>
      <c r="E93" s="25" t="str">
        <f aca="false">IF(AND(C93="",D93=""),"",N(D93)-N(C93))</f>
        <v/>
      </c>
      <c r="F93" s="20"/>
    </row>
    <row r="94" customFormat="false" ht="15" hidden="false" customHeight="false" outlineLevel="0" collapsed="false">
      <c r="A94" s="20"/>
      <c r="B94" s="20"/>
      <c r="C94" s="22"/>
      <c r="D94" s="22"/>
      <c r="E94" s="25" t="str">
        <f aca="false">IF(AND(C94="",D94=""),"",N(D94)-N(C94))</f>
        <v/>
      </c>
      <c r="F94" s="20"/>
    </row>
    <row r="95" customFormat="false" ht="15" hidden="false" customHeight="false" outlineLevel="0" collapsed="false">
      <c r="A95" s="20"/>
      <c r="B95" s="20"/>
      <c r="C95" s="22"/>
      <c r="D95" s="22"/>
      <c r="E95" s="25" t="str">
        <f aca="false">IF(AND(C95="",D95=""),"",N(D95)-N(C95))</f>
        <v/>
      </c>
      <c r="F95" s="20"/>
    </row>
    <row r="96" customFormat="false" ht="15" hidden="false" customHeight="false" outlineLevel="0" collapsed="false">
      <c r="A96" s="20"/>
      <c r="B96" s="20"/>
      <c r="C96" s="22"/>
      <c r="D96" s="22"/>
      <c r="E96" s="25" t="str">
        <f aca="false">IF(AND(C96="",D96=""),"",N(D96)-N(C96))</f>
        <v/>
      </c>
      <c r="F96" s="20"/>
    </row>
    <row r="97" customFormat="false" ht="15" hidden="false" customHeight="false" outlineLevel="0" collapsed="false">
      <c r="A97" s="20"/>
      <c r="B97" s="20"/>
      <c r="C97" s="22"/>
      <c r="D97" s="22"/>
      <c r="E97" s="25" t="str">
        <f aca="false">IF(AND(C97="",D97=""),"",N(D97)-N(C97))</f>
        <v/>
      </c>
      <c r="F97" s="20"/>
    </row>
    <row r="98" customFormat="false" ht="15" hidden="false" customHeight="false" outlineLevel="0" collapsed="false">
      <c r="A98" s="20"/>
      <c r="B98" s="20"/>
      <c r="C98" s="22"/>
      <c r="D98" s="22"/>
      <c r="E98" s="25" t="str">
        <f aca="false">IF(AND(C98="",D98=""),"",N(D98)-N(C98))</f>
        <v/>
      </c>
      <c r="F98" s="20"/>
    </row>
    <row r="99" customFormat="false" ht="15" hidden="false" customHeight="false" outlineLevel="0" collapsed="false">
      <c r="A99" s="20"/>
      <c r="B99" s="20"/>
      <c r="C99" s="22"/>
      <c r="D99" s="22"/>
      <c r="E99" s="25" t="str">
        <f aca="false">IF(AND(C99="",D99=""),"",N(D99)-N(C99))</f>
        <v/>
      </c>
      <c r="F99" s="20"/>
    </row>
    <row r="100" customFormat="false" ht="15" hidden="false" customHeight="false" outlineLevel="0" collapsed="false">
      <c r="A100" s="20"/>
      <c r="B100" s="20"/>
      <c r="C100" s="22"/>
      <c r="D100" s="22"/>
      <c r="E100" s="25" t="str">
        <f aca="false">IF(AND(C100="",D100=""),"",N(D100)-N(C100))</f>
        <v/>
      </c>
      <c r="F100" s="20"/>
    </row>
    <row r="101" customFormat="false" ht="15" hidden="false" customHeight="false" outlineLevel="0" collapsed="false">
      <c r="A101" s="20"/>
      <c r="B101" s="20"/>
      <c r="C101" s="22"/>
      <c r="D101" s="22"/>
      <c r="E101" s="25" t="str">
        <f aca="false">IF(AND(C101="",D101=""),"",N(D101)-N(C101))</f>
        <v/>
      </c>
      <c r="F101" s="20"/>
    </row>
    <row r="102" customFormat="false" ht="15" hidden="false" customHeight="false" outlineLevel="0" collapsed="false">
      <c r="A102" s="20"/>
      <c r="B102" s="20"/>
      <c r="C102" s="22"/>
      <c r="D102" s="22"/>
      <c r="E102" s="25" t="str">
        <f aca="false">IF(AND(C102="",D102=""),"",N(D102)-N(C102))</f>
        <v/>
      </c>
      <c r="F102" s="20"/>
    </row>
    <row r="103" customFormat="false" ht="15" hidden="false" customHeight="false" outlineLevel="0" collapsed="false">
      <c r="A103" s="20"/>
      <c r="B103" s="20"/>
      <c r="C103" s="22"/>
      <c r="D103" s="22"/>
      <c r="E103" s="25" t="str">
        <f aca="false">IF(AND(C103="",D103=""),"",N(D103)-N(C103))</f>
        <v/>
      </c>
      <c r="F103" s="20"/>
    </row>
    <row r="104" customFormat="false" ht="15" hidden="false" customHeight="false" outlineLevel="0" collapsed="false">
      <c r="A104" s="20"/>
      <c r="B104" s="20"/>
      <c r="C104" s="22"/>
      <c r="D104" s="22"/>
      <c r="E104" s="25" t="str">
        <f aca="false">IF(AND(C104="",D104=""),"",N(D104)-N(C104))</f>
        <v/>
      </c>
      <c r="F104" s="20"/>
    </row>
    <row r="105" customFormat="false" ht="15" hidden="false" customHeight="false" outlineLevel="0" collapsed="false">
      <c r="A105" s="20"/>
      <c r="B105" s="20"/>
      <c r="C105" s="22"/>
      <c r="D105" s="22"/>
      <c r="E105" s="25" t="str">
        <f aca="false">IF(AND(C105="",D105=""),"",N(D105)-N(C105))</f>
        <v/>
      </c>
      <c r="F105" s="20"/>
    </row>
    <row r="106" customFormat="false" ht="15" hidden="false" customHeight="false" outlineLevel="0" collapsed="false">
      <c r="A106" s="20"/>
      <c r="B106" s="20"/>
      <c r="C106" s="22"/>
      <c r="D106" s="22"/>
      <c r="E106" s="25" t="str">
        <f aca="false">IF(AND(C106="",D106=""),"",N(D106)-N(C106))</f>
        <v/>
      </c>
      <c r="F106" s="20"/>
    </row>
    <row r="107" customFormat="false" ht="15" hidden="false" customHeight="false" outlineLevel="0" collapsed="false">
      <c r="A107" s="20"/>
      <c r="B107" s="20"/>
      <c r="C107" s="22"/>
      <c r="D107" s="22"/>
      <c r="E107" s="25" t="str">
        <f aca="false">IF(AND(C107="",D107=""),"",N(D107)-N(C107))</f>
        <v/>
      </c>
      <c r="F107" s="20"/>
    </row>
    <row r="108" customFormat="false" ht="15" hidden="false" customHeight="false" outlineLevel="0" collapsed="false">
      <c r="A108" s="20"/>
      <c r="B108" s="20"/>
      <c r="C108" s="22"/>
      <c r="D108" s="22"/>
      <c r="E108" s="25" t="str">
        <f aca="false">IF(AND(C108="",D108=""),"",N(D108)-N(C108))</f>
        <v/>
      </c>
      <c r="F108" s="20"/>
    </row>
    <row r="109" customFormat="false" ht="15" hidden="false" customHeight="false" outlineLevel="0" collapsed="false">
      <c r="A109" s="20"/>
      <c r="B109" s="20"/>
      <c r="C109" s="22"/>
      <c r="D109" s="22"/>
      <c r="E109" s="25" t="str">
        <f aca="false">IF(AND(C109="",D109=""),"",N(D109)-N(C109))</f>
        <v/>
      </c>
      <c r="F109" s="20"/>
    </row>
    <row r="110" customFormat="false" ht="15" hidden="false" customHeight="false" outlineLevel="0" collapsed="false">
      <c r="A110" s="20"/>
      <c r="B110" s="20"/>
      <c r="C110" s="22"/>
      <c r="D110" s="22"/>
      <c r="E110" s="25" t="str">
        <f aca="false">IF(AND(C110="",D110=""),"",N(D110)-N(C110))</f>
        <v/>
      </c>
      <c r="F110" s="20"/>
    </row>
    <row r="111" customFormat="false" ht="15" hidden="false" customHeight="false" outlineLevel="0" collapsed="false">
      <c r="A111" s="20"/>
      <c r="B111" s="20"/>
      <c r="C111" s="22"/>
      <c r="D111" s="22"/>
      <c r="E111" s="25" t="str">
        <f aca="false">IF(AND(C111="",D111=""),"",N(D111)-N(C111))</f>
        <v/>
      </c>
      <c r="F111" s="20"/>
    </row>
    <row r="112" customFormat="false" ht="15" hidden="false" customHeight="false" outlineLevel="0" collapsed="false">
      <c r="A112" s="20"/>
      <c r="B112" s="20"/>
      <c r="C112" s="22"/>
      <c r="D112" s="22"/>
      <c r="E112" s="25" t="str">
        <f aca="false">IF(AND(C112="",D112=""),"",N(D112)-N(C112))</f>
        <v/>
      </c>
      <c r="F112" s="20"/>
    </row>
    <row r="113" customFormat="false" ht="15" hidden="false" customHeight="false" outlineLevel="0" collapsed="false">
      <c r="A113" s="20"/>
      <c r="B113" s="20"/>
      <c r="C113" s="22"/>
      <c r="D113" s="22"/>
      <c r="E113" s="25" t="str">
        <f aca="false">IF(AND(C113="",D113=""),"",N(D113)-N(C113))</f>
        <v/>
      </c>
      <c r="F113" s="20"/>
    </row>
    <row r="114" customFormat="false" ht="15" hidden="false" customHeight="false" outlineLevel="0" collapsed="false">
      <c r="A114" s="20"/>
      <c r="B114" s="20"/>
      <c r="C114" s="22"/>
      <c r="D114" s="22"/>
      <c r="E114" s="25" t="str">
        <f aca="false">IF(AND(C114="",D114=""),"",N(D114)-N(C114))</f>
        <v/>
      </c>
      <c r="F114" s="20"/>
    </row>
    <row r="115" customFormat="false" ht="15" hidden="false" customHeight="false" outlineLevel="0" collapsed="false">
      <c r="A115" s="20"/>
      <c r="B115" s="20"/>
      <c r="C115" s="22"/>
      <c r="D115" s="22"/>
      <c r="E115" s="25" t="str">
        <f aca="false">IF(AND(C115="",D115=""),"",N(D115)-N(C115))</f>
        <v/>
      </c>
      <c r="F115" s="20"/>
    </row>
    <row r="116" customFormat="false" ht="15" hidden="false" customHeight="false" outlineLevel="0" collapsed="false">
      <c r="A116" s="20"/>
      <c r="B116" s="20"/>
      <c r="C116" s="22"/>
      <c r="D116" s="22"/>
      <c r="E116" s="25" t="str">
        <f aca="false">IF(AND(C116="",D116=""),"",N(D116)-N(C116))</f>
        <v/>
      </c>
      <c r="F116" s="20"/>
    </row>
    <row r="117" customFormat="false" ht="15" hidden="false" customHeight="false" outlineLevel="0" collapsed="false">
      <c r="A117" s="20"/>
      <c r="B117" s="20"/>
      <c r="C117" s="22"/>
      <c r="D117" s="22"/>
      <c r="E117" s="25" t="str">
        <f aca="false">IF(AND(C117="",D117=""),"",N(D117)-N(C117))</f>
        <v/>
      </c>
      <c r="F117" s="20"/>
    </row>
    <row r="118" customFormat="false" ht="15" hidden="false" customHeight="false" outlineLevel="0" collapsed="false">
      <c r="A118" s="20"/>
      <c r="B118" s="20"/>
      <c r="C118" s="22"/>
      <c r="D118" s="22"/>
      <c r="E118" s="25" t="str">
        <f aca="false">IF(AND(C118="",D118=""),"",N(D118)-N(C118))</f>
        <v/>
      </c>
      <c r="F118" s="20"/>
    </row>
    <row r="119" customFormat="false" ht="15" hidden="false" customHeight="false" outlineLevel="0" collapsed="false">
      <c r="A119" s="20"/>
      <c r="B119" s="20"/>
      <c r="C119" s="22"/>
      <c r="D119" s="22"/>
      <c r="E119" s="25" t="str">
        <f aca="false">IF(AND(C119="",D119=""),"",N(D119)-N(C119))</f>
        <v/>
      </c>
      <c r="F119" s="20"/>
    </row>
    <row r="120" customFormat="false" ht="15" hidden="false" customHeight="false" outlineLevel="0" collapsed="false">
      <c r="A120" s="20"/>
      <c r="B120" s="20"/>
      <c r="C120" s="22"/>
      <c r="D120" s="22"/>
      <c r="E120" s="25" t="str">
        <f aca="false">IF(AND(C120="",D120=""),"",N(D120)-N(C120))</f>
        <v/>
      </c>
      <c r="F120" s="20"/>
    </row>
    <row r="121" customFormat="false" ht="15" hidden="false" customHeight="false" outlineLevel="0" collapsed="false">
      <c r="A121" s="20"/>
      <c r="B121" s="20"/>
      <c r="C121" s="22"/>
      <c r="D121" s="22"/>
      <c r="E121" s="25" t="str">
        <f aca="false">IF(AND(C121="",D121=""),"",N(D121)-N(C121))</f>
        <v/>
      </c>
      <c r="F121" s="20"/>
    </row>
    <row r="122" customFormat="false" ht="15" hidden="false" customHeight="false" outlineLevel="0" collapsed="false">
      <c r="A122" s="20"/>
      <c r="B122" s="20"/>
      <c r="C122" s="22"/>
      <c r="D122" s="22"/>
      <c r="E122" s="25" t="str">
        <f aca="false">IF(AND(C122="",D122=""),"",N(D122)-N(C122))</f>
        <v/>
      </c>
      <c r="F122" s="20"/>
    </row>
    <row r="123" customFormat="false" ht="15" hidden="false" customHeight="false" outlineLevel="0" collapsed="false">
      <c r="A123" s="20"/>
      <c r="B123" s="20"/>
      <c r="C123" s="22"/>
      <c r="D123" s="22"/>
      <c r="E123" s="25" t="str">
        <f aca="false">IF(AND(C123="",D123=""),"",N(D123)-N(C123))</f>
        <v/>
      </c>
      <c r="F123" s="20"/>
    </row>
    <row r="124" customFormat="false" ht="15" hidden="false" customHeight="false" outlineLevel="0" collapsed="false">
      <c r="A124" s="20"/>
      <c r="B124" s="20"/>
      <c r="C124" s="22"/>
      <c r="D124" s="22"/>
      <c r="E124" s="25" t="str">
        <f aca="false">IF(AND(C124="",D124=""),"",N(D124)-N(C124))</f>
        <v/>
      </c>
      <c r="F124" s="20"/>
    </row>
    <row r="125" customFormat="false" ht="15" hidden="false" customHeight="false" outlineLevel="0" collapsed="false">
      <c r="A125" s="20"/>
      <c r="B125" s="20"/>
      <c r="C125" s="22"/>
      <c r="D125" s="22"/>
      <c r="E125" s="25" t="str">
        <f aca="false">IF(AND(C125="",D125=""),"",N(D125)-N(C125))</f>
        <v/>
      </c>
      <c r="F125" s="20"/>
    </row>
    <row r="126" customFormat="false" ht="15" hidden="false" customHeight="false" outlineLevel="0" collapsed="false">
      <c r="A126" s="20"/>
      <c r="B126" s="20"/>
      <c r="C126" s="22"/>
      <c r="D126" s="22"/>
      <c r="E126" s="25" t="str">
        <f aca="false">IF(AND(C126="",D126=""),"",N(D126)-N(C126))</f>
        <v/>
      </c>
      <c r="F126" s="20"/>
    </row>
    <row r="127" customFormat="false" ht="15" hidden="false" customHeight="false" outlineLevel="0" collapsed="false">
      <c r="A127" s="20"/>
      <c r="B127" s="20"/>
      <c r="C127" s="22"/>
      <c r="D127" s="22"/>
      <c r="E127" s="25" t="str">
        <f aca="false">IF(AND(C127="",D127=""),"",N(D127)-N(C127))</f>
        <v/>
      </c>
      <c r="F127" s="20"/>
    </row>
    <row r="128" customFormat="false" ht="15" hidden="false" customHeight="false" outlineLevel="0" collapsed="false">
      <c r="A128" s="20"/>
      <c r="B128" s="20"/>
      <c r="C128" s="22"/>
      <c r="D128" s="22"/>
      <c r="E128" s="25" t="str">
        <f aca="false">IF(AND(C128="",D128=""),"",N(D128)-N(C128))</f>
        <v/>
      </c>
      <c r="F128" s="20"/>
    </row>
    <row r="129" customFormat="false" ht="15" hidden="false" customHeight="false" outlineLevel="0" collapsed="false">
      <c r="A129" s="20"/>
      <c r="B129" s="20"/>
      <c r="C129" s="22"/>
      <c r="D129" s="22"/>
      <c r="E129" s="25" t="str">
        <f aca="false">IF(AND(C129="",D129=""),"",N(D129)-N(C129))</f>
        <v/>
      </c>
      <c r="F129" s="20"/>
    </row>
    <row r="130" customFormat="false" ht="15" hidden="false" customHeight="false" outlineLevel="0" collapsed="false">
      <c r="A130" s="20"/>
      <c r="B130" s="20"/>
      <c r="C130" s="22"/>
      <c r="D130" s="22"/>
      <c r="E130" s="25" t="str">
        <f aca="false">IF(AND(C130="",D130=""),"",N(D130)-N(C130))</f>
        <v/>
      </c>
      <c r="F130" s="20"/>
    </row>
    <row r="131" customFormat="false" ht="15" hidden="false" customHeight="false" outlineLevel="0" collapsed="false">
      <c r="A131" s="20"/>
      <c r="B131" s="20"/>
      <c r="C131" s="22"/>
      <c r="D131" s="22"/>
      <c r="E131" s="25" t="str">
        <f aca="false">IF(AND(C131="",D131=""),"",N(D131)-N(C131))</f>
        <v/>
      </c>
      <c r="F131" s="20"/>
    </row>
    <row r="132" customFormat="false" ht="15" hidden="false" customHeight="false" outlineLevel="0" collapsed="false">
      <c r="A132" s="20"/>
      <c r="B132" s="20"/>
      <c r="C132" s="22"/>
      <c r="D132" s="22"/>
      <c r="E132" s="25" t="str">
        <f aca="false">IF(AND(C132="",D132=""),"",N(D132)-N(C132))</f>
        <v/>
      </c>
      <c r="F132" s="20"/>
    </row>
    <row r="133" customFormat="false" ht="15" hidden="false" customHeight="false" outlineLevel="0" collapsed="false">
      <c r="A133" s="20"/>
      <c r="B133" s="20"/>
      <c r="C133" s="22"/>
      <c r="D133" s="22"/>
      <c r="E133" s="25" t="str">
        <f aca="false">IF(AND(C133="",D133=""),"",N(D133)-N(C133))</f>
        <v/>
      </c>
      <c r="F133" s="20"/>
    </row>
    <row r="134" customFormat="false" ht="15" hidden="false" customHeight="false" outlineLevel="0" collapsed="false">
      <c r="A134" s="20"/>
      <c r="B134" s="20"/>
      <c r="C134" s="22"/>
      <c r="D134" s="22"/>
      <c r="E134" s="25" t="str">
        <f aca="false">IF(AND(C134="",D134=""),"",N(D134)-N(C134))</f>
        <v/>
      </c>
      <c r="F134" s="20"/>
    </row>
    <row r="135" customFormat="false" ht="15" hidden="false" customHeight="false" outlineLevel="0" collapsed="false">
      <c r="A135" s="20"/>
      <c r="B135" s="20"/>
      <c r="C135" s="22"/>
      <c r="D135" s="22"/>
      <c r="E135" s="25" t="str">
        <f aca="false">IF(AND(C135="",D135=""),"",N(D135)-N(C135))</f>
        <v/>
      </c>
      <c r="F135" s="20"/>
    </row>
    <row r="136" customFormat="false" ht="15" hidden="false" customHeight="false" outlineLevel="0" collapsed="false">
      <c r="A136" s="20"/>
      <c r="B136" s="20"/>
      <c r="C136" s="22"/>
      <c r="D136" s="22"/>
      <c r="E136" s="25" t="str">
        <f aca="false">IF(AND(C136="",D136=""),"",N(D136)-N(C136))</f>
        <v/>
      </c>
      <c r="F136" s="20"/>
    </row>
    <row r="137" customFormat="false" ht="15" hidden="false" customHeight="false" outlineLevel="0" collapsed="false">
      <c r="A137" s="20"/>
      <c r="B137" s="20"/>
      <c r="C137" s="22"/>
      <c r="D137" s="22"/>
      <c r="E137" s="25" t="str">
        <f aca="false">IF(AND(C137="",D137=""),"",N(D137)-N(C137))</f>
        <v/>
      </c>
      <c r="F137" s="20"/>
    </row>
    <row r="138" customFormat="false" ht="15" hidden="false" customHeight="false" outlineLevel="0" collapsed="false">
      <c r="A138" s="20"/>
      <c r="B138" s="20"/>
      <c r="C138" s="22"/>
      <c r="D138" s="22"/>
      <c r="E138" s="25" t="str">
        <f aca="false">IF(AND(C138="",D138=""),"",N(D138)-N(C138))</f>
        <v/>
      </c>
      <c r="F138" s="20"/>
    </row>
    <row r="139" customFormat="false" ht="15" hidden="false" customHeight="false" outlineLevel="0" collapsed="false">
      <c r="A139" s="20"/>
      <c r="B139" s="20"/>
      <c r="C139" s="22"/>
      <c r="D139" s="22"/>
      <c r="E139" s="25" t="str">
        <f aca="false">IF(AND(C139="",D139=""),"",N(D139)-N(C139))</f>
        <v/>
      </c>
      <c r="F139" s="20"/>
    </row>
    <row r="140" customFormat="false" ht="15" hidden="false" customHeight="false" outlineLevel="0" collapsed="false">
      <c r="A140" s="20"/>
      <c r="B140" s="20"/>
      <c r="C140" s="22"/>
      <c r="D140" s="22"/>
      <c r="E140" s="25" t="str">
        <f aca="false">IF(AND(C140="",D140=""),"",N(D140)-N(C140))</f>
        <v/>
      </c>
      <c r="F140" s="20"/>
    </row>
    <row r="141" customFormat="false" ht="15" hidden="false" customHeight="false" outlineLevel="0" collapsed="false">
      <c r="A141" s="20"/>
      <c r="B141" s="20"/>
      <c r="C141" s="22"/>
      <c r="D141" s="22"/>
      <c r="E141" s="25" t="str">
        <f aca="false">IF(AND(C141="",D141=""),"",N(D141)-N(C141))</f>
        <v/>
      </c>
      <c r="F141" s="20"/>
    </row>
    <row r="142" customFormat="false" ht="15" hidden="false" customHeight="false" outlineLevel="0" collapsed="false">
      <c r="A142" s="20"/>
      <c r="B142" s="20"/>
      <c r="C142" s="22"/>
      <c r="D142" s="22"/>
      <c r="E142" s="25" t="str">
        <f aca="false">IF(AND(C142="",D142=""),"",N(D142)-N(C142))</f>
        <v/>
      </c>
      <c r="F142" s="20"/>
    </row>
    <row r="143" customFormat="false" ht="15" hidden="false" customHeight="false" outlineLevel="0" collapsed="false">
      <c r="A143" s="20"/>
      <c r="B143" s="20"/>
      <c r="C143" s="22"/>
      <c r="D143" s="22"/>
      <c r="E143" s="25" t="str">
        <f aca="false">IF(AND(C143="",D143=""),"",N(D143)-N(C143))</f>
        <v/>
      </c>
      <c r="F143" s="20"/>
    </row>
    <row r="144" customFormat="false" ht="15" hidden="false" customHeight="false" outlineLevel="0" collapsed="false">
      <c r="A144" s="20"/>
      <c r="B144" s="20"/>
      <c r="C144" s="22"/>
      <c r="D144" s="22"/>
      <c r="E144" s="25" t="str">
        <f aca="false">IF(AND(C144="",D144=""),"",N(D144)-N(C144))</f>
        <v/>
      </c>
      <c r="F144" s="20"/>
    </row>
    <row r="145" customFormat="false" ht="15" hidden="false" customHeight="false" outlineLevel="0" collapsed="false">
      <c r="A145" s="20"/>
      <c r="B145" s="20"/>
      <c r="C145" s="22"/>
      <c r="D145" s="22"/>
      <c r="E145" s="25" t="str">
        <f aca="false">IF(AND(C145="",D145=""),"",N(D145)-N(C145))</f>
        <v/>
      </c>
      <c r="F145" s="20"/>
    </row>
    <row r="146" customFormat="false" ht="15" hidden="false" customHeight="false" outlineLevel="0" collapsed="false">
      <c r="A146" s="20"/>
      <c r="B146" s="20"/>
      <c r="C146" s="22"/>
      <c r="D146" s="22"/>
      <c r="E146" s="25" t="str">
        <f aca="false">IF(AND(C146="",D146=""),"",N(D146)-N(C146))</f>
        <v/>
      </c>
      <c r="F146" s="20"/>
    </row>
    <row r="147" customFormat="false" ht="15" hidden="false" customHeight="false" outlineLevel="0" collapsed="false">
      <c r="A147" s="20"/>
      <c r="B147" s="20"/>
      <c r="C147" s="22"/>
      <c r="D147" s="22"/>
      <c r="E147" s="25" t="str">
        <f aca="false">IF(AND(C147="",D147=""),"",N(D147)-N(C147))</f>
        <v/>
      </c>
      <c r="F147" s="20"/>
    </row>
    <row r="148" customFormat="false" ht="15" hidden="false" customHeight="false" outlineLevel="0" collapsed="false">
      <c r="A148" s="20"/>
      <c r="B148" s="20"/>
      <c r="C148" s="22"/>
      <c r="D148" s="22"/>
      <c r="E148" s="25" t="str">
        <f aca="false">IF(AND(C148="",D148=""),"",N(D148)-N(C148))</f>
        <v/>
      </c>
      <c r="F148" s="20"/>
    </row>
    <row r="149" customFormat="false" ht="15" hidden="false" customHeight="false" outlineLevel="0" collapsed="false">
      <c r="A149" s="20"/>
      <c r="B149" s="20"/>
      <c r="C149" s="22"/>
      <c r="D149" s="22"/>
      <c r="E149" s="25" t="str">
        <f aca="false">IF(AND(C149="",D149=""),"",N(D149)-N(C149))</f>
        <v/>
      </c>
      <c r="F149" s="20"/>
    </row>
    <row r="150" customFormat="false" ht="15" hidden="false" customHeight="false" outlineLevel="0" collapsed="false">
      <c r="A150" s="20"/>
      <c r="B150" s="20"/>
      <c r="C150" s="22"/>
      <c r="D150" s="22"/>
      <c r="E150" s="25" t="str">
        <f aca="false">IF(AND(C150="",D150=""),"",N(D150)-N(C150))</f>
        <v/>
      </c>
      <c r="F150" s="20"/>
    </row>
    <row r="151" customFormat="false" ht="15" hidden="false" customHeight="false" outlineLevel="0" collapsed="false">
      <c r="A151" s="20"/>
      <c r="B151" s="20"/>
      <c r="C151" s="22"/>
      <c r="D151" s="22"/>
      <c r="E151" s="25" t="str">
        <f aca="false">IF(AND(C151="",D151=""),"",N(D151)-N(C151))</f>
        <v/>
      </c>
      <c r="F151" s="20"/>
    </row>
    <row r="152" customFormat="false" ht="15" hidden="false" customHeight="false" outlineLevel="0" collapsed="false">
      <c r="A152" s="20"/>
      <c r="B152" s="20"/>
      <c r="C152" s="22"/>
      <c r="D152" s="22"/>
      <c r="E152" s="25" t="str">
        <f aca="false">IF(AND(C152="",D152=""),"",N(D152)-N(C152))</f>
        <v/>
      </c>
      <c r="F152" s="20"/>
    </row>
    <row r="153" customFormat="false" ht="15" hidden="false" customHeight="false" outlineLevel="0" collapsed="false">
      <c r="A153" s="20"/>
      <c r="B153" s="20"/>
      <c r="C153" s="22"/>
      <c r="D153" s="22"/>
      <c r="E153" s="25" t="str">
        <f aca="false">IF(AND(C153="",D153=""),"",N(D153)-N(C153))</f>
        <v/>
      </c>
      <c r="F153" s="20"/>
    </row>
    <row r="154" customFormat="false" ht="15" hidden="false" customHeight="false" outlineLevel="0" collapsed="false">
      <c r="A154" s="20"/>
      <c r="B154" s="20"/>
      <c r="C154" s="22"/>
      <c r="D154" s="22"/>
      <c r="E154" s="25" t="str">
        <f aca="false">IF(AND(C154="",D154=""),"",N(D154)-N(C154))</f>
        <v/>
      </c>
      <c r="F154" s="20"/>
    </row>
    <row r="155" customFormat="false" ht="15" hidden="false" customHeight="false" outlineLevel="0" collapsed="false">
      <c r="A155" s="20"/>
      <c r="B155" s="20"/>
      <c r="C155" s="22"/>
      <c r="D155" s="22"/>
      <c r="E155" s="25" t="str">
        <f aca="false">IF(AND(C155="",D155=""),"",N(D155)-N(C155))</f>
        <v/>
      </c>
      <c r="F155" s="20"/>
    </row>
    <row r="156" customFormat="false" ht="15" hidden="false" customHeight="false" outlineLevel="0" collapsed="false">
      <c r="A156" s="20"/>
      <c r="B156" s="20"/>
      <c r="C156" s="22"/>
      <c r="D156" s="22"/>
      <c r="E156" s="25" t="str">
        <f aca="false">IF(AND(C156="",D156=""),"",N(D156)-N(C156))</f>
        <v/>
      </c>
      <c r="F156" s="20"/>
    </row>
    <row r="157" customFormat="false" ht="15" hidden="false" customHeight="false" outlineLevel="0" collapsed="false">
      <c r="A157" s="20"/>
      <c r="B157" s="20"/>
      <c r="C157" s="22"/>
      <c r="D157" s="22"/>
      <c r="E157" s="25" t="str">
        <f aca="false">IF(AND(C157="",D157=""),"",N(D157)-N(C157))</f>
        <v/>
      </c>
      <c r="F157" s="20"/>
    </row>
    <row r="158" customFormat="false" ht="15" hidden="false" customHeight="false" outlineLevel="0" collapsed="false">
      <c r="A158" s="20"/>
      <c r="B158" s="20"/>
      <c r="C158" s="22"/>
      <c r="D158" s="22"/>
      <c r="E158" s="25" t="str">
        <f aca="false">IF(AND(C158="",D158=""),"",N(D158)-N(C158))</f>
        <v/>
      </c>
      <c r="F158" s="20"/>
    </row>
    <row r="159" customFormat="false" ht="15" hidden="false" customHeight="false" outlineLevel="0" collapsed="false">
      <c r="A159" s="20"/>
      <c r="B159" s="20"/>
      <c r="C159" s="22"/>
      <c r="D159" s="22"/>
      <c r="E159" s="25" t="str">
        <f aca="false">IF(AND(C159="",D159=""),"",N(D159)-N(C159))</f>
        <v/>
      </c>
      <c r="F159" s="20"/>
    </row>
    <row r="160" customFormat="false" ht="15" hidden="false" customHeight="false" outlineLevel="0" collapsed="false">
      <c r="A160" s="20"/>
      <c r="B160" s="20"/>
      <c r="C160" s="22"/>
      <c r="D160" s="22"/>
      <c r="E160" s="25" t="str">
        <f aca="false">IF(AND(C160="",D160=""),"",N(D160)-N(C160))</f>
        <v/>
      </c>
      <c r="F160" s="20"/>
    </row>
    <row r="161" customFormat="false" ht="15" hidden="false" customHeight="false" outlineLevel="0" collapsed="false">
      <c r="A161" s="20"/>
      <c r="B161" s="20"/>
      <c r="C161" s="22"/>
      <c r="D161" s="22"/>
      <c r="E161" s="25" t="str">
        <f aca="false">IF(AND(C161="",D161=""),"",N(D161)-N(C161))</f>
        <v/>
      </c>
      <c r="F161" s="20"/>
    </row>
    <row r="162" customFormat="false" ht="15" hidden="false" customHeight="false" outlineLevel="0" collapsed="false">
      <c r="A162" s="20"/>
      <c r="B162" s="20"/>
      <c r="C162" s="22"/>
      <c r="D162" s="22"/>
      <c r="E162" s="25" t="str">
        <f aca="false">IF(AND(C162="",D162=""),"",N(D162)-N(C162))</f>
        <v/>
      </c>
      <c r="F162" s="20"/>
    </row>
    <row r="163" customFormat="false" ht="15" hidden="false" customHeight="false" outlineLevel="0" collapsed="false">
      <c r="A163" s="20"/>
      <c r="B163" s="20"/>
      <c r="C163" s="22"/>
      <c r="D163" s="22"/>
      <c r="E163" s="25" t="str">
        <f aca="false">IF(AND(C163="",D163=""),"",N(D163)-N(C163))</f>
        <v/>
      </c>
      <c r="F163" s="20"/>
    </row>
    <row r="164" customFormat="false" ht="15" hidden="false" customHeight="false" outlineLevel="0" collapsed="false">
      <c r="A164" s="20"/>
      <c r="B164" s="20"/>
      <c r="C164" s="22"/>
      <c r="D164" s="22"/>
      <c r="E164" s="25" t="str">
        <f aca="false">IF(AND(C164="",D164=""),"",N(D164)-N(C164))</f>
        <v/>
      </c>
      <c r="F164" s="20"/>
    </row>
    <row r="165" customFormat="false" ht="15" hidden="false" customHeight="false" outlineLevel="0" collapsed="false">
      <c r="A165" s="20"/>
      <c r="B165" s="20"/>
      <c r="C165" s="22"/>
      <c r="D165" s="22"/>
      <c r="E165" s="25" t="str">
        <f aca="false">IF(AND(C165="",D165=""),"",N(D165)-N(C165))</f>
        <v/>
      </c>
      <c r="F165" s="20"/>
    </row>
    <row r="166" customFormat="false" ht="15" hidden="false" customHeight="false" outlineLevel="0" collapsed="false">
      <c r="A166" s="20"/>
      <c r="B166" s="20"/>
      <c r="C166" s="22"/>
      <c r="D166" s="22"/>
      <c r="E166" s="25" t="str">
        <f aca="false">IF(AND(C166="",D166=""),"",N(D166)-N(C166))</f>
        <v/>
      </c>
      <c r="F166" s="20"/>
    </row>
    <row r="167" customFormat="false" ht="15" hidden="false" customHeight="false" outlineLevel="0" collapsed="false">
      <c r="A167" s="20"/>
      <c r="B167" s="20"/>
      <c r="C167" s="22"/>
      <c r="D167" s="22"/>
      <c r="E167" s="25" t="str">
        <f aca="false">IF(AND(C167="",D167=""),"",N(D167)-N(C167))</f>
        <v/>
      </c>
      <c r="F167" s="20"/>
    </row>
    <row r="168" customFormat="false" ht="15" hidden="false" customHeight="false" outlineLevel="0" collapsed="false">
      <c r="A168" s="20"/>
      <c r="B168" s="20"/>
      <c r="C168" s="22"/>
      <c r="D168" s="22"/>
      <c r="E168" s="25" t="str">
        <f aca="false">IF(AND(C168="",D168=""),"",N(D168)-N(C168))</f>
        <v/>
      </c>
      <c r="F168" s="20"/>
    </row>
    <row r="169" customFormat="false" ht="15" hidden="false" customHeight="false" outlineLevel="0" collapsed="false">
      <c r="A169" s="20"/>
      <c r="B169" s="20"/>
      <c r="C169" s="22"/>
      <c r="D169" s="22"/>
      <c r="E169" s="25" t="str">
        <f aca="false">IF(AND(C169="",D169=""),"",N(D169)-N(C169))</f>
        <v/>
      </c>
      <c r="F169" s="20"/>
    </row>
    <row r="170" customFormat="false" ht="15" hidden="false" customHeight="false" outlineLevel="0" collapsed="false">
      <c r="A170" s="20"/>
      <c r="B170" s="20"/>
      <c r="C170" s="22"/>
      <c r="D170" s="22"/>
      <c r="E170" s="25" t="str">
        <f aca="false">IF(AND(C170="",D170=""),"",N(D170)-N(C170))</f>
        <v/>
      </c>
      <c r="F170" s="20"/>
    </row>
    <row r="171" customFormat="false" ht="15" hidden="false" customHeight="false" outlineLevel="0" collapsed="false">
      <c r="A171" s="20"/>
      <c r="B171" s="20"/>
      <c r="C171" s="22"/>
      <c r="D171" s="22"/>
      <c r="E171" s="25" t="str">
        <f aca="false">IF(AND(C171="",D171=""),"",N(D171)-N(C171))</f>
        <v/>
      </c>
      <c r="F171" s="20"/>
    </row>
    <row r="172" customFormat="false" ht="15" hidden="false" customHeight="false" outlineLevel="0" collapsed="false">
      <c r="A172" s="20"/>
      <c r="B172" s="20"/>
      <c r="C172" s="22"/>
      <c r="D172" s="22"/>
      <c r="E172" s="25" t="str">
        <f aca="false">IF(AND(C172="",D172=""),"",N(D172)-N(C172))</f>
        <v/>
      </c>
      <c r="F172" s="20"/>
    </row>
    <row r="173" customFormat="false" ht="15" hidden="false" customHeight="false" outlineLevel="0" collapsed="false">
      <c r="A173" s="20"/>
      <c r="B173" s="20"/>
      <c r="C173" s="22"/>
      <c r="D173" s="22"/>
      <c r="E173" s="25" t="str">
        <f aca="false">IF(AND(C173="",D173=""),"",N(D173)-N(C173))</f>
        <v/>
      </c>
      <c r="F173" s="20"/>
    </row>
    <row r="174" customFormat="false" ht="15" hidden="false" customHeight="false" outlineLevel="0" collapsed="false">
      <c r="A174" s="20"/>
      <c r="B174" s="20"/>
      <c r="C174" s="22"/>
      <c r="D174" s="22"/>
      <c r="E174" s="25" t="str">
        <f aca="false">IF(AND(C174="",D174=""),"",N(D174)-N(C174))</f>
        <v/>
      </c>
      <c r="F174" s="20"/>
    </row>
    <row r="175" customFormat="false" ht="15" hidden="false" customHeight="false" outlineLevel="0" collapsed="false">
      <c r="A175" s="20"/>
      <c r="B175" s="20"/>
      <c r="C175" s="22"/>
      <c r="D175" s="22"/>
      <c r="E175" s="25" t="str">
        <f aca="false">IF(AND(C175="",D175=""),"",N(D175)-N(C175))</f>
        <v/>
      </c>
      <c r="F175" s="20"/>
    </row>
    <row r="176" customFormat="false" ht="15" hidden="false" customHeight="false" outlineLevel="0" collapsed="false">
      <c r="A176" s="20"/>
      <c r="B176" s="20"/>
      <c r="C176" s="22"/>
      <c r="D176" s="22"/>
      <c r="E176" s="25" t="str">
        <f aca="false">IF(AND(C176="",D176=""),"",N(D176)-N(C176))</f>
        <v/>
      </c>
      <c r="F176" s="20"/>
    </row>
    <row r="177" customFormat="false" ht="15" hidden="false" customHeight="false" outlineLevel="0" collapsed="false">
      <c r="A177" s="20"/>
      <c r="B177" s="20"/>
      <c r="C177" s="22"/>
      <c r="D177" s="22"/>
      <c r="E177" s="25" t="str">
        <f aca="false">IF(AND(C177="",D177=""),"",N(D177)-N(C177))</f>
        <v/>
      </c>
      <c r="F177" s="20"/>
    </row>
    <row r="178" customFormat="false" ht="15" hidden="false" customHeight="false" outlineLevel="0" collapsed="false">
      <c r="A178" s="20"/>
      <c r="B178" s="20"/>
      <c r="C178" s="22"/>
      <c r="D178" s="22"/>
      <c r="E178" s="25" t="str">
        <f aca="false">IF(AND(C178="",D178=""),"",N(D178)-N(C178))</f>
        <v/>
      </c>
      <c r="F178" s="20"/>
    </row>
    <row r="179" customFormat="false" ht="15" hidden="false" customHeight="false" outlineLevel="0" collapsed="false">
      <c r="A179" s="20"/>
      <c r="B179" s="20"/>
      <c r="C179" s="22"/>
      <c r="D179" s="22"/>
      <c r="E179" s="25" t="str">
        <f aca="false">IF(AND(C179="",D179=""),"",N(D179)-N(C179))</f>
        <v/>
      </c>
      <c r="F179" s="20"/>
    </row>
    <row r="180" customFormat="false" ht="15" hidden="false" customHeight="false" outlineLevel="0" collapsed="false">
      <c r="A180" s="20"/>
      <c r="B180" s="20"/>
      <c r="C180" s="22"/>
      <c r="D180" s="22"/>
      <c r="E180" s="25" t="str">
        <f aca="false">IF(AND(C180="",D180=""),"",N(D180)-N(C180))</f>
        <v/>
      </c>
      <c r="F180" s="20"/>
    </row>
    <row r="181" customFormat="false" ht="15" hidden="false" customHeight="false" outlineLevel="0" collapsed="false">
      <c r="A181" s="20"/>
      <c r="B181" s="20"/>
      <c r="C181" s="22"/>
      <c r="D181" s="22"/>
      <c r="E181" s="25" t="str">
        <f aca="false">IF(AND(C181="",D181=""),"",N(D181)-N(C181))</f>
        <v/>
      </c>
      <c r="F181" s="20"/>
    </row>
    <row r="182" customFormat="false" ht="15" hidden="false" customHeight="false" outlineLevel="0" collapsed="false">
      <c r="A182" s="20"/>
      <c r="B182" s="20"/>
      <c r="C182" s="22"/>
      <c r="D182" s="22"/>
      <c r="E182" s="25" t="str">
        <f aca="false">IF(AND(C182="",D182=""),"",N(D182)-N(C182))</f>
        <v/>
      </c>
      <c r="F182" s="20"/>
    </row>
    <row r="183" customFormat="false" ht="15" hidden="false" customHeight="false" outlineLevel="0" collapsed="false">
      <c r="A183" s="20"/>
      <c r="B183" s="20"/>
      <c r="C183" s="22"/>
      <c r="D183" s="22"/>
      <c r="E183" s="25" t="str">
        <f aca="false">IF(AND(C183="",D183=""),"",N(D183)-N(C183))</f>
        <v/>
      </c>
      <c r="F183" s="20"/>
    </row>
    <row r="184" customFormat="false" ht="15" hidden="false" customHeight="false" outlineLevel="0" collapsed="false">
      <c r="A184" s="20"/>
      <c r="B184" s="20"/>
      <c r="C184" s="22"/>
      <c r="D184" s="22"/>
      <c r="E184" s="25" t="str">
        <f aca="false">IF(AND(C184="",D184=""),"",N(D184)-N(C184))</f>
        <v/>
      </c>
      <c r="F184" s="20"/>
    </row>
    <row r="185" customFormat="false" ht="15" hidden="false" customHeight="false" outlineLevel="0" collapsed="false">
      <c r="A185" s="20"/>
      <c r="B185" s="20"/>
      <c r="C185" s="22"/>
      <c r="D185" s="22"/>
      <c r="E185" s="25" t="str">
        <f aca="false">IF(AND(C185="",D185=""),"",N(D185)-N(C185))</f>
        <v/>
      </c>
      <c r="F185" s="20"/>
    </row>
    <row r="186" customFormat="false" ht="15" hidden="false" customHeight="false" outlineLevel="0" collapsed="false">
      <c r="A186" s="20"/>
      <c r="B186" s="20"/>
      <c r="C186" s="22"/>
      <c r="D186" s="22"/>
      <c r="E186" s="25" t="str">
        <f aca="false">IF(AND(C186="",D186=""),"",N(D186)-N(C186))</f>
        <v/>
      </c>
      <c r="F186" s="20"/>
    </row>
    <row r="187" customFormat="false" ht="15" hidden="false" customHeight="false" outlineLevel="0" collapsed="false">
      <c r="A187" s="20"/>
      <c r="B187" s="20"/>
      <c r="C187" s="22"/>
      <c r="D187" s="22"/>
      <c r="E187" s="25" t="str">
        <f aca="false">IF(AND(C187="",D187=""),"",N(D187)-N(C187))</f>
        <v/>
      </c>
      <c r="F187" s="20"/>
    </row>
    <row r="188" customFormat="false" ht="15" hidden="false" customHeight="false" outlineLevel="0" collapsed="false">
      <c r="A188" s="20"/>
      <c r="B188" s="20"/>
      <c r="C188" s="22"/>
      <c r="D188" s="22"/>
      <c r="E188" s="25" t="str">
        <f aca="false">IF(AND(C188="",D188=""),"",N(D188)-N(C188))</f>
        <v/>
      </c>
      <c r="F188" s="20"/>
    </row>
    <row r="189" customFormat="false" ht="15" hidden="false" customHeight="false" outlineLevel="0" collapsed="false">
      <c r="A189" s="20"/>
      <c r="B189" s="20"/>
      <c r="C189" s="22"/>
      <c r="D189" s="22"/>
      <c r="E189" s="25" t="str">
        <f aca="false">IF(AND(C189="",D189=""),"",N(D189)-N(C189))</f>
        <v/>
      </c>
      <c r="F189" s="20"/>
    </row>
    <row r="190" customFormat="false" ht="15" hidden="false" customHeight="false" outlineLevel="0" collapsed="false">
      <c r="A190" s="20"/>
      <c r="B190" s="20"/>
      <c r="C190" s="22"/>
      <c r="D190" s="22"/>
      <c r="E190" s="25" t="str">
        <f aca="false">IF(AND(C190="",D190=""),"",N(D190)-N(C190))</f>
        <v/>
      </c>
      <c r="F190" s="20"/>
    </row>
    <row r="191" customFormat="false" ht="15" hidden="false" customHeight="false" outlineLevel="0" collapsed="false">
      <c r="A191" s="20"/>
      <c r="B191" s="20"/>
      <c r="C191" s="22"/>
      <c r="D191" s="22"/>
      <c r="E191" s="25" t="str">
        <f aca="false">IF(AND(C191="",D191=""),"",N(D191)-N(C191))</f>
        <v/>
      </c>
      <c r="F191" s="20"/>
    </row>
    <row r="192" customFormat="false" ht="15" hidden="false" customHeight="false" outlineLevel="0" collapsed="false">
      <c r="A192" s="20"/>
      <c r="B192" s="20"/>
      <c r="C192" s="22"/>
      <c r="D192" s="22"/>
      <c r="E192" s="25" t="str">
        <f aca="false">IF(AND(C192="",D192=""),"",N(D192)-N(C192))</f>
        <v/>
      </c>
      <c r="F192" s="20"/>
    </row>
    <row r="193" customFormat="false" ht="15" hidden="false" customHeight="false" outlineLevel="0" collapsed="false">
      <c r="A193" s="20"/>
      <c r="B193" s="20"/>
      <c r="C193" s="22"/>
      <c r="D193" s="22"/>
      <c r="E193" s="25" t="str">
        <f aca="false">IF(AND(C193="",D193=""),"",N(D193)-N(C193))</f>
        <v/>
      </c>
      <c r="F193" s="20"/>
    </row>
    <row r="194" customFormat="false" ht="15" hidden="false" customHeight="false" outlineLevel="0" collapsed="false">
      <c r="A194" s="20"/>
      <c r="B194" s="20"/>
      <c r="C194" s="22"/>
      <c r="D194" s="22"/>
      <c r="E194" s="25" t="str">
        <f aca="false">IF(AND(C194="",D194=""),"",N(D194)-N(C194))</f>
        <v/>
      </c>
      <c r="F194" s="20"/>
    </row>
    <row r="195" customFormat="false" ht="15" hidden="false" customHeight="false" outlineLevel="0" collapsed="false">
      <c r="A195" s="20"/>
      <c r="B195" s="20"/>
      <c r="C195" s="22"/>
      <c r="D195" s="22"/>
      <c r="E195" s="25" t="str">
        <f aca="false">IF(AND(C195="",D195=""),"",N(D195)-N(C195))</f>
        <v/>
      </c>
      <c r="F195" s="20"/>
    </row>
    <row r="196" customFormat="false" ht="15" hidden="false" customHeight="false" outlineLevel="0" collapsed="false">
      <c r="A196" s="20"/>
      <c r="B196" s="20"/>
      <c r="C196" s="22"/>
      <c r="D196" s="22"/>
      <c r="E196" s="25" t="str">
        <f aca="false">IF(AND(C196="",D196=""),"",N(D196)-N(C196))</f>
        <v/>
      </c>
      <c r="F196" s="20"/>
    </row>
    <row r="197" customFormat="false" ht="15" hidden="false" customHeight="false" outlineLevel="0" collapsed="false">
      <c r="A197" s="20"/>
      <c r="B197" s="20"/>
      <c r="C197" s="22"/>
      <c r="D197" s="22"/>
      <c r="E197" s="25" t="str">
        <f aca="false">IF(AND(C197="",D197=""),"",N(D197)-N(C197))</f>
        <v/>
      </c>
      <c r="F197" s="20"/>
    </row>
    <row r="198" customFormat="false" ht="15" hidden="false" customHeight="false" outlineLevel="0" collapsed="false">
      <c r="A198" s="20"/>
      <c r="B198" s="20"/>
      <c r="C198" s="22"/>
      <c r="D198" s="22"/>
      <c r="E198" s="25" t="str">
        <f aca="false">IF(AND(C198="",D198=""),"",N(D198)-N(C198))</f>
        <v/>
      </c>
      <c r="F198" s="20"/>
    </row>
    <row r="199" customFormat="false" ht="15" hidden="false" customHeight="false" outlineLevel="0" collapsed="false">
      <c r="A199" s="20"/>
      <c r="B199" s="20"/>
      <c r="C199" s="22"/>
      <c r="D199" s="22"/>
      <c r="E199" s="25" t="str">
        <f aca="false">IF(AND(C199="",D199=""),"",N(D199)-N(C199))</f>
        <v/>
      </c>
      <c r="F199" s="20"/>
    </row>
    <row r="200" customFormat="false" ht="15" hidden="false" customHeight="false" outlineLevel="0" collapsed="false">
      <c r="A200" s="20"/>
      <c r="B200" s="20"/>
      <c r="C200" s="22"/>
      <c r="D200" s="22"/>
      <c r="E200" s="25" t="str">
        <f aca="false">IF(AND(C200="",D200=""),"",N(D200)-N(C200))</f>
        <v/>
      </c>
      <c r="F200" s="20"/>
    </row>
    <row r="201" customFormat="false" ht="15" hidden="false" customHeight="false" outlineLevel="0" collapsed="false">
      <c r="A201" s="20"/>
      <c r="B201" s="20"/>
      <c r="C201" s="22"/>
      <c r="D201" s="22"/>
      <c r="E201" s="25" t="str">
        <f aca="false">IF(AND(C201="",D201=""),"",N(D201)-N(C201))</f>
        <v/>
      </c>
      <c r="F201" s="20"/>
    </row>
    <row r="202" customFormat="false" ht="15" hidden="false" customHeight="false" outlineLevel="0" collapsed="false">
      <c r="A202" s="20"/>
      <c r="B202" s="20"/>
      <c r="C202" s="22"/>
      <c r="D202" s="22"/>
      <c r="E202" s="25" t="str">
        <f aca="false">IF(AND(C202="",D202=""),"",N(D202)-N(C202))</f>
        <v/>
      </c>
      <c r="F202" s="20"/>
    </row>
    <row r="203" customFormat="false" ht="15" hidden="false" customHeight="false" outlineLevel="0" collapsed="false">
      <c r="A203" s="20"/>
      <c r="B203" s="20"/>
      <c r="C203" s="22"/>
      <c r="D203" s="22"/>
      <c r="E203" s="25" t="str">
        <f aca="false">IF(AND(C203="",D203=""),"",N(D203)-N(C203))</f>
        <v/>
      </c>
      <c r="F203" s="20"/>
    </row>
    <row r="204" customFormat="false" ht="15" hidden="false" customHeight="false" outlineLevel="0" collapsed="false">
      <c r="A204" s="20"/>
      <c r="B204" s="20"/>
      <c r="C204" s="22"/>
      <c r="D204" s="22"/>
      <c r="E204" s="25" t="str">
        <f aca="false">IF(AND(C204="",D204=""),"",N(D204)-N(C204))</f>
        <v/>
      </c>
      <c r="F204" s="20"/>
    </row>
  </sheetData>
  <dataValidations count="1">
    <dataValidation allowBlank="true" error="Informe um número maior ou igual a zero." errorStyle="stop" errorTitle="Valor inválido" operator="greaterThanOrEqual" showDropDown="false" showErrorMessage="true" showInputMessage="false" sqref="C5:D2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9" t="str">
        <f aca="false">HYPERLINK("#'Menu'!A1","◄ Voltar ao Menu")</f>
        <v>◄ Voltar ao Menu</v>
      </c>
    </row>
    <row r="2" customFormat="false" ht="17.35" hidden="false" customHeight="false" outlineLevel="0" collapsed="false">
      <c r="A2" s="10" t="s">
        <v>96</v>
      </c>
    </row>
    <row r="3" customFormat="false" ht="15" hidden="false" customHeight="false" outlineLevel="0" collapsed="false">
      <c r="A3" s="8" t="s">
        <v>97</v>
      </c>
    </row>
    <row r="4" customFormat="false" ht="31.5" hidden="false" customHeight="true" outlineLevel="0" collapsed="false">
      <c r="A4" s="18" t="s">
        <v>98</v>
      </c>
      <c r="B4" s="18" t="s">
        <v>99</v>
      </c>
      <c r="C4" s="18" t="s">
        <v>100</v>
      </c>
      <c r="D4" s="18" t="s">
        <v>101</v>
      </c>
      <c r="E4" s="18" t="s">
        <v>102</v>
      </c>
      <c r="F4" s="18" t="s">
        <v>66</v>
      </c>
    </row>
    <row r="5" customFormat="false" ht="15" hidden="false" customHeight="false" outlineLevel="0" collapsed="false">
      <c r="A5" s="20" t="s">
        <v>103</v>
      </c>
      <c r="B5" s="21" t="s">
        <v>104</v>
      </c>
      <c r="C5" s="20" t="s">
        <v>105</v>
      </c>
      <c r="D5" s="19" t="n">
        <v>42106</v>
      </c>
      <c r="E5" s="24" t="n">
        <f aca="false">IF(D5="","",DATEDIF(D5,DATE(AnoBase,12,31),"Y"))</f>
        <v>10</v>
      </c>
      <c r="F5" s="20" t="s">
        <v>70</v>
      </c>
    </row>
    <row r="6" customFormat="false" ht="15" hidden="false" customHeight="false" outlineLevel="0" collapsed="false">
      <c r="A6" s="20"/>
      <c r="B6" s="21"/>
      <c r="C6" s="20"/>
      <c r="D6" s="19"/>
      <c r="E6" s="24" t="str">
        <f aca="false">IF(D6="","",DATEDIF(D6,DATE(AnoBase,12,31),"Y"))</f>
        <v/>
      </c>
      <c r="F6" s="20"/>
    </row>
    <row r="7" customFormat="false" ht="15" hidden="false" customHeight="false" outlineLevel="0" collapsed="false">
      <c r="A7" s="20"/>
      <c r="B7" s="21"/>
      <c r="C7" s="20"/>
      <c r="D7" s="19"/>
      <c r="E7" s="24" t="str">
        <f aca="false">IF(D7="","",DATEDIF(D7,DATE(AnoBase,12,31),"Y"))</f>
        <v/>
      </c>
      <c r="F7" s="20"/>
    </row>
    <row r="8" customFormat="false" ht="15" hidden="false" customHeight="false" outlineLevel="0" collapsed="false">
      <c r="A8" s="20"/>
      <c r="B8" s="21"/>
      <c r="C8" s="20"/>
      <c r="D8" s="19"/>
      <c r="E8" s="24" t="str">
        <f aca="false">IF(D8="","",DATEDIF(D8,DATE(AnoBase,12,31),"Y"))</f>
        <v/>
      </c>
      <c r="F8" s="20"/>
    </row>
    <row r="9" customFormat="false" ht="15" hidden="false" customHeight="false" outlineLevel="0" collapsed="false">
      <c r="A9" s="20"/>
      <c r="B9" s="21"/>
      <c r="C9" s="20"/>
      <c r="D9" s="19"/>
      <c r="E9" s="24" t="str">
        <f aca="false">IF(D9="","",DATEDIF(D9,DATE(AnoBase,12,31),"Y"))</f>
        <v/>
      </c>
      <c r="F9" s="20"/>
    </row>
    <row r="10" customFormat="false" ht="15" hidden="false" customHeight="false" outlineLevel="0" collapsed="false">
      <c r="A10" s="20"/>
      <c r="B10" s="21"/>
      <c r="C10" s="20"/>
      <c r="D10" s="19"/>
      <c r="E10" s="24" t="str">
        <f aca="false">IF(D10="","",DATEDIF(D10,DATE(AnoBase,12,31),"Y"))</f>
        <v/>
      </c>
      <c r="F10" s="20"/>
    </row>
    <row r="11" customFormat="false" ht="15" hidden="false" customHeight="false" outlineLevel="0" collapsed="false">
      <c r="A11" s="20"/>
      <c r="B11" s="21"/>
      <c r="C11" s="20"/>
      <c r="D11" s="19"/>
      <c r="E11" s="24" t="str">
        <f aca="false">IF(D11="","",DATEDIF(D11,DATE(AnoBase,12,31),"Y"))</f>
        <v/>
      </c>
      <c r="F11" s="20"/>
    </row>
    <row r="12" customFormat="false" ht="15" hidden="false" customHeight="false" outlineLevel="0" collapsed="false">
      <c r="A12" s="20"/>
      <c r="B12" s="21"/>
      <c r="C12" s="20"/>
      <c r="D12" s="19"/>
      <c r="E12" s="24" t="str">
        <f aca="false">IF(D12="","",DATEDIF(D12,DATE(AnoBase,12,31),"Y"))</f>
        <v/>
      </c>
      <c r="F12" s="20"/>
    </row>
    <row r="13" customFormat="false" ht="15" hidden="false" customHeight="false" outlineLevel="0" collapsed="false">
      <c r="A13" s="20"/>
      <c r="B13" s="21"/>
      <c r="C13" s="20"/>
      <c r="D13" s="19"/>
      <c r="E13" s="24" t="str">
        <f aca="false">IF(D13="","",DATEDIF(D13,DATE(AnoBase,12,31),"Y"))</f>
        <v/>
      </c>
      <c r="F13" s="20"/>
    </row>
    <row r="14" customFormat="false" ht="15" hidden="false" customHeight="false" outlineLevel="0" collapsed="false">
      <c r="A14" s="20"/>
      <c r="B14" s="21"/>
      <c r="C14" s="20"/>
      <c r="D14" s="19"/>
      <c r="E14" s="24" t="str">
        <f aca="false">IF(D14="","",DATEDIF(D14,DATE(AnoBase,12,31),"Y"))</f>
        <v/>
      </c>
      <c r="F14" s="20"/>
    </row>
    <row r="15" customFormat="false" ht="15" hidden="false" customHeight="false" outlineLevel="0" collapsed="false">
      <c r="A15" s="20"/>
      <c r="B15" s="21"/>
      <c r="C15" s="20"/>
      <c r="D15" s="19"/>
      <c r="E15" s="24" t="str">
        <f aca="false">IF(D15="","",DATEDIF(D15,DATE(AnoBase,12,31),"Y"))</f>
        <v/>
      </c>
      <c r="F15" s="20"/>
    </row>
    <row r="16" customFormat="false" ht="15" hidden="false" customHeight="false" outlineLevel="0" collapsed="false">
      <c r="A16" s="20"/>
      <c r="B16" s="21"/>
      <c r="C16" s="20"/>
      <c r="D16" s="19"/>
      <c r="E16" s="24" t="str">
        <f aca="false">IF(D16="","",DATEDIF(D16,DATE(AnoBase,12,31),"Y"))</f>
        <v/>
      </c>
      <c r="F16" s="20"/>
    </row>
    <row r="17" customFormat="false" ht="15" hidden="false" customHeight="false" outlineLevel="0" collapsed="false">
      <c r="A17" s="20"/>
      <c r="B17" s="21"/>
      <c r="C17" s="20"/>
      <c r="D17" s="19"/>
      <c r="E17" s="24" t="str">
        <f aca="false">IF(D17="","",DATEDIF(D17,DATE(AnoBase,12,31),"Y"))</f>
        <v/>
      </c>
      <c r="F17" s="20"/>
    </row>
    <row r="18" customFormat="false" ht="15" hidden="false" customHeight="false" outlineLevel="0" collapsed="false">
      <c r="A18" s="20"/>
      <c r="B18" s="21"/>
      <c r="C18" s="20"/>
      <c r="D18" s="19"/>
      <c r="E18" s="24" t="str">
        <f aca="false">IF(D18="","",DATEDIF(D18,DATE(AnoBase,12,31),"Y"))</f>
        <v/>
      </c>
      <c r="F18" s="20"/>
    </row>
    <row r="19" customFormat="false" ht="15" hidden="false" customHeight="false" outlineLevel="0" collapsed="false">
      <c r="A19" s="20"/>
      <c r="B19" s="21"/>
      <c r="C19" s="20"/>
      <c r="D19" s="19"/>
      <c r="E19" s="24" t="str">
        <f aca="false">IF(D19="","",DATEDIF(D19,DATE(AnoBase,12,31),"Y"))</f>
        <v/>
      </c>
      <c r="F19" s="20"/>
    </row>
    <row r="20" customFormat="false" ht="15" hidden="false" customHeight="false" outlineLevel="0" collapsed="false">
      <c r="A20" s="20"/>
      <c r="B20" s="21"/>
      <c r="C20" s="20"/>
      <c r="D20" s="19"/>
      <c r="E20" s="24" t="str">
        <f aca="false">IF(D20="","",DATEDIF(D20,DATE(AnoBase,12,31),"Y"))</f>
        <v/>
      </c>
      <c r="F20" s="20"/>
    </row>
    <row r="21" customFormat="false" ht="15" hidden="false" customHeight="false" outlineLevel="0" collapsed="false">
      <c r="A21" s="20"/>
      <c r="B21" s="21"/>
      <c r="C21" s="20"/>
      <c r="D21" s="19"/>
      <c r="E21" s="24" t="str">
        <f aca="false">IF(D21="","",DATEDIF(D21,DATE(AnoBase,12,31),"Y"))</f>
        <v/>
      </c>
      <c r="F21" s="20"/>
    </row>
    <row r="22" customFormat="false" ht="15" hidden="false" customHeight="false" outlineLevel="0" collapsed="false">
      <c r="A22" s="20"/>
      <c r="B22" s="21"/>
      <c r="C22" s="20"/>
      <c r="D22" s="19"/>
      <c r="E22" s="24" t="str">
        <f aca="false">IF(D22="","",DATEDIF(D22,DATE(AnoBase,12,31),"Y"))</f>
        <v/>
      </c>
      <c r="F22" s="20"/>
    </row>
    <row r="23" customFormat="false" ht="15" hidden="false" customHeight="false" outlineLevel="0" collapsed="false">
      <c r="A23" s="20"/>
      <c r="B23" s="21"/>
      <c r="C23" s="20"/>
      <c r="D23" s="19"/>
      <c r="E23" s="24" t="str">
        <f aca="false">IF(D23="","",DATEDIF(D23,DATE(AnoBase,12,31),"Y"))</f>
        <v/>
      </c>
      <c r="F23" s="20"/>
    </row>
    <row r="24" customFormat="false" ht="15" hidden="false" customHeight="false" outlineLevel="0" collapsed="false">
      <c r="A24" s="20"/>
      <c r="B24" s="21"/>
      <c r="C24" s="20"/>
      <c r="D24" s="19"/>
      <c r="E24" s="24" t="str">
        <f aca="false">IF(D24="","",DATEDIF(D24,DATE(AnoBase,12,31),"Y"))</f>
        <v/>
      </c>
      <c r="F24" s="20"/>
    </row>
    <row r="25" customFormat="false" ht="15" hidden="false" customHeight="false" outlineLevel="0" collapsed="false">
      <c r="A25" s="20"/>
      <c r="B25" s="21"/>
      <c r="C25" s="20"/>
      <c r="D25" s="19"/>
      <c r="E25" s="24" t="str">
        <f aca="false">IF(D25="","",DATEDIF(D25,DATE(AnoBase,12,31),"Y"))</f>
        <v/>
      </c>
      <c r="F25" s="20"/>
    </row>
    <row r="26" customFormat="false" ht="15" hidden="false" customHeight="false" outlineLevel="0" collapsed="false">
      <c r="A26" s="20"/>
      <c r="B26" s="21"/>
      <c r="C26" s="20"/>
      <c r="D26" s="19"/>
      <c r="E26" s="24" t="str">
        <f aca="false">IF(D26="","",DATEDIF(D26,DATE(AnoBase,12,31),"Y"))</f>
        <v/>
      </c>
      <c r="F26" s="20"/>
    </row>
    <row r="27" customFormat="false" ht="15" hidden="false" customHeight="false" outlineLevel="0" collapsed="false">
      <c r="A27" s="20"/>
      <c r="B27" s="21"/>
      <c r="C27" s="20"/>
      <c r="D27" s="19"/>
      <c r="E27" s="24" t="str">
        <f aca="false">IF(D27="","",DATEDIF(D27,DATE(AnoBase,12,31),"Y"))</f>
        <v/>
      </c>
      <c r="F27" s="20"/>
    </row>
    <row r="28" customFormat="false" ht="15" hidden="false" customHeight="false" outlineLevel="0" collapsed="false">
      <c r="A28" s="20"/>
      <c r="B28" s="21"/>
      <c r="C28" s="20"/>
      <c r="D28" s="19"/>
      <c r="E28" s="24" t="str">
        <f aca="false">IF(D28="","",DATEDIF(D28,DATE(AnoBase,12,31),"Y"))</f>
        <v/>
      </c>
      <c r="F28" s="20"/>
    </row>
    <row r="29" customFormat="false" ht="15" hidden="false" customHeight="false" outlineLevel="0" collapsed="false">
      <c r="A29" s="20"/>
      <c r="B29" s="21"/>
      <c r="C29" s="20"/>
      <c r="D29" s="19"/>
      <c r="E29" s="24" t="str">
        <f aca="false">IF(D29="","",DATEDIF(D29,DATE(AnoBase,12,31),"Y"))</f>
        <v/>
      </c>
      <c r="F29" s="20"/>
    </row>
    <row r="30" customFormat="false" ht="15" hidden="false" customHeight="false" outlineLevel="0" collapsed="false">
      <c r="A30" s="20"/>
      <c r="B30" s="21"/>
      <c r="C30" s="20"/>
      <c r="D30" s="19"/>
      <c r="E30" s="24" t="str">
        <f aca="false">IF(D30="","",DATEDIF(D30,DATE(AnoBase,12,31),"Y"))</f>
        <v/>
      </c>
      <c r="F30" s="20"/>
    </row>
    <row r="31" customFormat="false" ht="15" hidden="false" customHeight="false" outlineLevel="0" collapsed="false">
      <c r="A31" s="20"/>
      <c r="B31" s="21"/>
      <c r="C31" s="20"/>
      <c r="D31" s="19"/>
      <c r="E31" s="24" t="str">
        <f aca="false">IF(D31="","",DATEDIF(D31,DATE(AnoBase,12,31),"Y"))</f>
        <v/>
      </c>
      <c r="F31" s="20"/>
    </row>
    <row r="32" customFormat="false" ht="15" hidden="false" customHeight="false" outlineLevel="0" collapsed="false">
      <c r="A32" s="20"/>
      <c r="B32" s="21"/>
      <c r="C32" s="20"/>
      <c r="D32" s="19"/>
      <c r="E32" s="24" t="str">
        <f aca="false">IF(D32="","",DATEDIF(D32,DATE(AnoBase,12,31),"Y"))</f>
        <v/>
      </c>
      <c r="F32" s="20"/>
    </row>
    <row r="33" customFormat="false" ht="15" hidden="false" customHeight="false" outlineLevel="0" collapsed="false">
      <c r="A33" s="20"/>
      <c r="B33" s="21"/>
      <c r="C33" s="20"/>
      <c r="D33" s="19"/>
      <c r="E33" s="24" t="str">
        <f aca="false">IF(D33="","",DATEDIF(D33,DATE(AnoBase,12,31),"Y"))</f>
        <v/>
      </c>
      <c r="F33" s="20"/>
    </row>
    <row r="34" customFormat="false" ht="15" hidden="false" customHeight="false" outlineLevel="0" collapsed="false">
      <c r="A34" s="20"/>
      <c r="B34" s="21"/>
      <c r="C34" s="20"/>
      <c r="D34" s="19"/>
      <c r="E34" s="24" t="str">
        <f aca="false">IF(D34="","",DATEDIF(D34,DATE(AnoBase,12,31),"Y"))</f>
        <v/>
      </c>
      <c r="F34" s="20"/>
    </row>
    <row r="35" customFormat="false" ht="15" hidden="false" customHeight="false" outlineLevel="0" collapsed="false">
      <c r="A35" s="20"/>
      <c r="B35" s="21"/>
      <c r="C35" s="20"/>
      <c r="D35" s="19"/>
      <c r="E35" s="24" t="str">
        <f aca="false">IF(D35="","",DATEDIF(D35,DATE(AnoBase,12,31),"Y"))</f>
        <v/>
      </c>
      <c r="F35" s="20"/>
    </row>
    <row r="36" customFormat="false" ht="15" hidden="false" customHeight="false" outlineLevel="0" collapsed="false">
      <c r="A36" s="20"/>
      <c r="B36" s="21"/>
      <c r="C36" s="20"/>
      <c r="D36" s="19"/>
      <c r="E36" s="24" t="str">
        <f aca="false">IF(D36="","",DATEDIF(D36,DATE(AnoBase,12,31),"Y"))</f>
        <v/>
      </c>
      <c r="F36" s="20"/>
    </row>
    <row r="37" customFormat="false" ht="15" hidden="false" customHeight="false" outlineLevel="0" collapsed="false">
      <c r="A37" s="20"/>
      <c r="B37" s="21"/>
      <c r="C37" s="20"/>
      <c r="D37" s="19"/>
      <c r="E37" s="24" t="str">
        <f aca="false">IF(D37="","",DATEDIF(D37,DATE(AnoBase,12,31),"Y"))</f>
        <v/>
      </c>
      <c r="F37" s="20"/>
    </row>
    <row r="38" customFormat="false" ht="15" hidden="false" customHeight="false" outlineLevel="0" collapsed="false">
      <c r="A38" s="20"/>
      <c r="B38" s="21"/>
      <c r="C38" s="20"/>
      <c r="D38" s="19"/>
      <c r="E38" s="24" t="str">
        <f aca="false">IF(D38="","",DATEDIF(D38,DATE(AnoBase,12,31),"Y"))</f>
        <v/>
      </c>
      <c r="F38" s="20"/>
    </row>
    <row r="39" customFormat="false" ht="15" hidden="false" customHeight="false" outlineLevel="0" collapsed="false">
      <c r="A39" s="20"/>
      <c r="B39" s="21"/>
      <c r="C39" s="20"/>
      <c r="D39" s="19"/>
      <c r="E39" s="24" t="str">
        <f aca="false">IF(D39="","",DATEDIF(D39,DATE(AnoBase,12,31),"Y"))</f>
        <v/>
      </c>
      <c r="F39" s="20"/>
    </row>
    <row r="40" customFormat="false" ht="15" hidden="false" customHeight="false" outlineLevel="0" collapsed="false">
      <c r="A40" s="20"/>
      <c r="B40" s="21"/>
      <c r="C40" s="20"/>
      <c r="D40" s="19"/>
      <c r="E40" s="24" t="str">
        <f aca="false">IF(D40="","",DATEDIF(D40,DATE(AnoBase,12,31),"Y"))</f>
        <v/>
      </c>
      <c r="F40" s="20"/>
    </row>
    <row r="41" customFormat="false" ht="15" hidden="false" customHeight="false" outlineLevel="0" collapsed="false">
      <c r="A41" s="20"/>
      <c r="B41" s="21"/>
      <c r="C41" s="20"/>
      <c r="D41" s="19"/>
      <c r="E41" s="24" t="str">
        <f aca="false">IF(D41="","",DATEDIF(D41,DATE(AnoBase,12,31),"Y"))</f>
        <v/>
      </c>
      <c r="F41" s="20"/>
    </row>
    <row r="42" customFormat="false" ht="15" hidden="false" customHeight="false" outlineLevel="0" collapsed="false">
      <c r="A42" s="20"/>
      <c r="B42" s="21"/>
      <c r="C42" s="20"/>
      <c r="D42" s="19"/>
      <c r="E42" s="24" t="str">
        <f aca="false">IF(D42="","",DATEDIF(D42,DATE(AnoBase,12,31),"Y"))</f>
        <v/>
      </c>
      <c r="F42" s="20"/>
    </row>
    <row r="43" customFormat="false" ht="15" hidden="false" customHeight="false" outlineLevel="0" collapsed="false">
      <c r="A43" s="20"/>
      <c r="B43" s="21"/>
      <c r="C43" s="20"/>
      <c r="D43" s="19"/>
      <c r="E43" s="24" t="str">
        <f aca="false">IF(D43="","",DATEDIF(D43,DATE(AnoBase,12,31),"Y"))</f>
        <v/>
      </c>
      <c r="F43" s="20"/>
    </row>
    <row r="44" customFormat="false" ht="15" hidden="false" customHeight="false" outlineLevel="0" collapsed="false">
      <c r="A44" s="20"/>
      <c r="B44" s="21"/>
      <c r="C44" s="20"/>
      <c r="D44" s="19"/>
      <c r="E44" s="24" t="str">
        <f aca="false">IF(D44="","",DATEDIF(D44,DATE(AnoBase,12,31),"Y"))</f>
        <v/>
      </c>
      <c r="F44" s="20"/>
    </row>
    <row r="45" customFormat="false" ht="15" hidden="false" customHeight="false" outlineLevel="0" collapsed="false">
      <c r="A45" s="20"/>
      <c r="B45" s="21"/>
      <c r="C45" s="20"/>
      <c r="D45" s="19"/>
      <c r="E45" s="24" t="str">
        <f aca="false">IF(D45="","",DATEDIF(D45,DATE(AnoBase,12,31),"Y"))</f>
        <v/>
      </c>
      <c r="F45" s="20"/>
    </row>
    <row r="46" customFormat="false" ht="15" hidden="false" customHeight="false" outlineLevel="0" collapsed="false">
      <c r="A46" s="20"/>
      <c r="B46" s="21"/>
      <c r="C46" s="20"/>
      <c r="D46" s="19"/>
      <c r="E46" s="24" t="str">
        <f aca="false">IF(D46="","",DATEDIF(D46,DATE(AnoBase,12,31),"Y"))</f>
        <v/>
      </c>
      <c r="F46" s="20"/>
    </row>
    <row r="47" customFormat="false" ht="15" hidden="false" customHeight="false" outlineLevel="0" collapsed="false">
      <c r="A47" s="20"/>
      <c r="B47" s="21"/>
      <c r="C47" s="20"/>
      <c r="D47" s="19"/>
      <c r="E47" s="24" t="str">
        <f aca="false">IF(D47="","",DATEDIF(D47,DATE(AnoBase,12,31),"Y"))</f>
        <v/>
      </c>
      <c r="F47" s="20"/>
    </row>
    <row r="48" customFormat="false" ht="15" hidden="false" customHeight="false" outlineLevel="0" collapsed="false">
      <c r="A48" s="20"/>
      <c r="B48" s="21"/>
      <c r="C48" s="20"/>
      <c r="D48" s="19"/>
      <c r="E48" s="24" t="str">
        <f aca="false">IF(D48="","",DATEDIF(D48,DATE(AnoBase,12,31),"Y"))</f>
        <v/>
      </c>
      <c r="F48" s="20"/>
    </row>
    <row r="49" customFormat="false" ht="15" hidden="false" customHeight="false" outlineLevel="0" collapsed="false">
      <c r="A49" s="20"/>
      <c r="B49" s="21"/>
      <c r="C49" s="20"/>
      <c r="D49" s="19"/>
      <c r="E49" s="24" t="str">
        <f aca="false">IF(D49="","",DATEDIF(D49,DATE(AnoBase,12,31),"Y"))</f>
        <v/>
      </c>
      <c r="F49" s="20"/>
    </row>
    <row r="50" customFormat="false" ht="15" hidden="false" customHeight="false" outlineLevel="0" collapsed="false">
      <c r="A50" s="20"/>
      <c r="B50" s="21"/>
      <c r="C50" s="20"/>
      <c r="D50" s="19"/>
      <c r="E50" s="24" t="str">
        <f aca="false">IF(D50="","",DATEDIF(D50,DATE(AnoBase,12,31),"Y"))</f>
        <v/>
      </c>
      <c r="F50" s="20"/>
    </row>
    <row r="51" customFormat="false" ht="15" hidden="false" customHeight="false" outlineLevel="0" collapsed="false">
      <c r="A51" s="20"/>
      <c r="B51" s="21"/>
      <c r="C51" s="20"/>
      <c r="D51" s="19"/>
      <c r="E51" s="24" t="str">
        <f aca="false">IF(D51="","",DATEDIF(D51,DATE(AnoBase,12,31),"Y"))</f>
        <v/>
      </c>
      <c r="F51" s="20"/>
    </row>
    <row r="52" customFormat="false" ht="15" hidden="false" customHeight="false" outlineLevel="0" collapsed="false">
      <c r="A52" s="20"/>
      <c r="B52" s="21"/>
      <c r="C52" s="20"/>
      <c r="D52" s="19"/>
      <c r="E52" s="24" t="str">
        <f aca="false">IF(D52="","",DATEDIF(D52,DATE(AnoBase,12,31),"Y"))</f>
        <v/>
      </c>
      <c r="F52" s="20"/>
    </row>
    <row r="53" customFormat="false" ht="15" hidden="false" customHeight="false" outlineLevel="0" collapsed="false">
      <c r="A53" s="20"/>
      <c r="B53" s="21"/>
      <c r="C53" s="20"/>
      <c r="D53" s="19"/>
      <c r="E53" s="24" t="str">
        <f aca="false">IF(D53="","",DATEDIF(D53,DATE(AnoBase,12,31),"Y"))</f>
        <v/>
      </c>
      <c r="F53" s="20"/>
    </row>
    <row r="54" customFormat="false" ht="15" hidden="false" customHeight="false" outlineLevel="0" collapsed="false">
      <c r="A54" s="20"/>
      <c r="B54" s="21"/>
      <c r="C54" s="20"/>
      <c r="D54" s="19"/>
      <c r="E54" s="24" t="str">
        <f aca="false">IF(D54="","",DATEDIF(D54,DATE(AnoBase,12,31),"Y"))</f>
        <v/>
      </c>
      <c r="F54" s="20"/>
    </row>
    <row r="55" customFormat="false" ht="15" hidden="false" customHeight="false" outlineLevel="0" collapsed="false">
      <c r="A55" s="20"/>
      <c r="B55" s="21"/>
      <c r="C55" s="20"/>
      <c r="D55" s="19"/>
      <c r="E55" s="24" t="str">
        <f aca="false">IF(D55="","",DATEDIF(D55,DATE(AnoBase,12,31),"Y"))</f>
        <v/>
      </c>
      <c r="F55" s="20"/>
    </row>
    <row r="56" customFormat="false" ht="15" hidden="false" customHeight="false" outlineLevel="0" collapsed="false">
      <c r="A56" s="20"/>
      <c r="B56" s="21"/>
      <c r="C56" s="20"/>
      <c r="D56" s="19"/>
      <c r="E56" s="24" t="str">
        <f aca="false">IF(D56="","",DATEDIF(D56,DATE(AnoBase,12,31),"Y"))</f>
        <v/>
      </c>
      <c r="F56" s="20"/>
    </row>
    <row r="57" customFormat="false" ht="15" hidden="false" customHeight="false" outlineLevel="0" collapsed="false">
      <c r="A57" s="20"/>
      <c r="B57" s="21"/>
      <c r="C57" s="20"/>
      <c r="D57" s="19"/>
      <c r="E57" s="24" t="str">
        <f aca="false">IF(D57="","",DATEDIF(D57,DATE(AnoBase,12,31),"Y"))</f>
        <v/>
      </c>
      <c r="F57" s="20"/>
    </row>
    <row r="58" customFormat="false" ht="15" hidden="false" customHeight="false" outlineLevel="0" collapsed="false">
      <c r="A58" s="20"/>
      <c r="B58" s="21"/>
      <c r="C58" s="20"/>
      <c r="D58" s="19"/>
      <c r="E58" s="24" t="str">
        <f aca="false">IF(D58="","",DATEDIF(D58,DATE(AnoBase,12,31),"Y"))</f>
        <v/>
      </c>
      <c r="F58" s="20"/>
    </row>
    <row r="59" customFormat="false" ht="15" hidden="false" customHeight="false" outlineLevel="0" collapsed="false">
      <c r="A59" s="20"/>
      <c r="B59" s="21"/>
      <c r="C59" s="20"/>
      <c r="D59" s="19"/>
      <c r="E59" s="24" t="str">
        <f aca="false">IF(D59="","",DATEDIF(D59,DATE(AnoBase,12,31),"Y"))</f>
        <v/>
      </c>
      <c r="F59" s="20"/>
    </row>
    <row r="60" customFormat="false" ht="15" hidden="false" customHeight="false" outlineLevel="0" collapsed="false">
      <c r="A60" s="20"/>
      <c r="B60" s="21"/>
      <c r="C60" s="20"/>
      <c r="D60" s="19"/>
      <c r="E60" s="24" t="str">
        <f aca="false">IF(D60="","",DATEDIF(D60,DATE(AnoBase,12,31),"Y"))</f>
        <v/>
      </c>
      <c r="F60" s="20"/>
    </row>
  </sheetData>
  <dataValidations count="3">
    <dataValidation allowBlank="true" error="Digite 11 dígitos, só números." errorStyle="stop" errorTitle="CPF inválido" operator="between" showDropDown="false" showErrorMessage="true" showInputMessage="false" sqref="B5:B60" type="custom">
      <formula1>LEN(B5)=11</formula1>
      <formula2>0</formula2>
    </dataValidation>
    <dataValidation allowBlank="true" error="Escolha um parentesco da lista." errorStyle="stop" errorTitle="Valor inválido" operator="between" prompt="Escolha um item da lista." promptTitle="Selecione" showDropDown="false" showErrorMessage="true" showInputMessage="true" sqref="C5:C60" type="list">
      <formula1>ListaParentesco</formula1>
      <formula2>0</formula2>
    </dataValidation>
    <dataValidation allowBlank="true" error="A data de nascimento não pode ser posterior ao ano-calendário." errorStyle="stop" errorTitle="Data inválida" operator="lessThanOrEqual" showDropDown="false" showErrorMessage="true" showInputMessage="false" sqref="D5:D60" type="date">
      <formula1>DATE(AnoBase,12,31)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9" t="str">
        <f aca="false">HYPERLINK("#'Menu'!A1","◄ Voltar ao Menu")</f>
        <v>◄ Voltar ao Menu</v>
      </c>
    </row>
    <row r="2" customFormat="false" ht="17.35" hidden="false" customHeight="false" outlineLevel="0" collapsed="false">
      <c r="A2" s="10" t="s">
        <v>106</v>
      </c>
    </row>
    <row r="3" customFormat="false" ht="15" hidden="false" customHeight="false" outlineLevel="0" collapsed="false">
      <c r="A3" s="8" t="s">
        <v>107</v>
      </c>
    </row>
    <row r="4" customFormat="false" ht="31.5" hidden="false" customHeight="true" outlineLevel="0" collapsed="false">
      <c r="A4" s="18" t="s">
        <v>108</v>
      </c>
      <c r="B4" s="18" t="s">
        <v>109</v>
      </c>
      <c r="C4" s="18" t="s">
        <v>110</v>
      </c>
      <c r="D4" s="18" t="s">
        <v>111</v>
      </c>
    </row>
    <row r="5" customFormat="false" ht="15" hidden="false" customHeight="false" outlineLevel="0" collapsed="false">
      <c r="A5" s="26" t="s">
        <v>112</v>
      </c>
      <c r="B5" s="26" t="s">
        <v>113</v>
      </c>
      <c r="C5" s="20" t="s">
        <v>114</v>
      </c>
      <c r="D5" s="27" t="str">
        <f aca="false">HYPERLINK("https://meu.inss.gov.br","Abrir ►")</f>
        <v>Abrir ►</v>
      </c>
    </row>
    <row r="6" customFormat="false" ht="15" hidden="false" customHeight="false" outlineLevel="0" collapsed="false">
      <c r="A6" s="26" t="s">
        <v>115</v>
      </c>
      <c r="B6" s="26" t="s">
        <v>116</v>
      </c>
      <c r="C6" s="20" t="s">
        <v>114</v>
      </c>
      <c r="D6" s="27" t="str">
        <f aca="false">HYPERLINK("https://www.gov.br/receitafederal/pt-br","Abrir ►")</f>
        <v>Abrir ►</v>
      </c>
    </row>
    <row r="7" customFormat="false" ht="15" hidden="false" customHeight="false" outlineLevel="0" collapsed="false">
      <c r="A7" s="26" t="s">
        <v>117</v>
      </c>
      <c r="B7" s="26" t="s">
        <v>118</v>
      </c>
      <c r="C7" s="20" t="s">
        <v>114</v>
      </c>
      <c r="D7" s="26"/>
    </row>
    <row r="8" customFormat="false" ht="15" hidden="false" customHeight="false" outlineLevel="0" collapsed="false">
      <c r="A8" s="26" t="s">
        <v>119</v>
      </c>
      <c r="B8" s="26" t="s">
        <v>120</v>
      </c>
      <c r="C8" s="20" t="s">
        <v>114</v>
      </c>
      <c r="D8" s="26"/>
    </row>
    <row r="9" customFormat="false" ht="15" hidden="false" customHeight="false" outlineLevel="0" collapsed="false">
      <c r="A9" s="26" t="s">
        <v>121</v>
      </c>
      <c r="B9" s="26" t="s">
        <v>122</v>
      </c>
      <c r="C9" s="20" t="s">
        <v>114</v>
      </c>
      <c r="D9" s="26"/>
    </row>
    <row r="10" customFormat="false" ht="15" hidden="false" customHeight="false" outlineLevel="0" collapsed="false">
      <c r="A10" s="26" t="s">
        <v>123</v>
      </c>
      <c r="B10" s="26" t="s">
        <v>124</v>
      </c>
      <c r="C10" s="20" t="s">
        <v>114</v>
      </c>
      <c r="D10" s="26"/>
    </row>
    <row r="11" customFormat="false" ht="15" hidden="false" customHeight="false" outlineLevel="0" collapsed="false">
      <c r="A11" s="26" t="s">
        <v>125</v>
      </c>
      <c r="B11" s="26" t="s">
        <v>126</v>
      </c>
      <c r="C11" s="20" t="s">
        <v>114</v>
      </c>
      <c r="D11" s="26"/>
    </row>
    <row r="12" customFormat="false" ht="15" hidden="false" customHeight="false" outlineLevel="0" collapsed="false">
      <c r="A12" s="26" t="s">
        <v>127</v>
      </c>
      <c r="B12" s="26" t="s">
        <v>128</v>
      </c>
      <c r="C12" s="20" t="s">
        <v>114</v>
      </c>
      <c r="D12" s="27" t="str">
        <f aca="false">HYPERLINK("https://www.gov.br/receitafederal/pt-br/assuntos/meu-imposto-de-renda","Abrir ►")</f>
        <v>Abrir ►</v>
      </c>
    </row>
    <row r="13" customFormat="false" ht="15" hidden="false" customHeight="false" outlineLevel="0" collapsed="false">
      <c r="A13" s="26" t="s">
        <v>129</v>
      </c>
      <c r="B13" s="26" t="s">
        <v>130</v>
      </c>
      <c r="C13" s="20" t="s">
        <v>114</v>
      </c>
      <c r="D13" s="26"/>
    </row>
    <row r="14" customFormat="false" ht="15" hidden="false" customHeight="false" outlineLevel="0" collapsed="false">
      <c r="A14" s="20"/>
      <c r="B14" s="20"/>
      <c r="C14" s="20"/>
      <c r="D14" s="26"/>
    </row>
    <row r="15" customFormat="false" ht="15" hidden="false" customHeight="false" outlineLevel="0" collapsed="false">
      <c r="A15" s="20"/>
      <c r="B15" s="20"/>
      <c r="C15" s="20"/>
      <c r="D15" s="26"/>
    </row>
    <row r="16" customFormat="false" ht="15" hidden="false" customHeight="false" outlineLevel="0" collapsed="false">
      <c r="A16" s="20"/>
      <c r="B16" s="20"/>
      <c r="C16" s="20"/>
      <c r="D16" s="26"/>
    </row>
    <row r="17" customFormat="false" ht="15" hidden="false" customHeight="false" outlineLevel="0" collapsed="false">
      <c r="A17" s="20"/>
      <c r="B17" s="20"/>
      <c r="C17" s="20"/>
      <c r="D17" s="26"/>
    </row>
    <row r="18" customFormat="false" ht="15" hidden="false" customHeight="false" outlineLevel="0" collapsed="false">
      <c r="A18" s="20"/>
      <c r="B18" s="20"/>
      <c r="C18" s="20"/>
      <c r="D18" s="26"/>
    </row>
    <row r="19" customFormat="false" ht="15" hidden="false" customHeight="false" outlineLevel="0" collapsed="false">
      <c r="A19" s="20"/>
      <c r="B19" s="20"/>
      <c r="C19" s="20"/>
      <c r="D19" s="26"/>
    </row>
    <row r="20" customFormat="false" ht="15" hidden="false" customHeight="false" outlineLevel="0" collapsed="false">
      <c r="A20" s="20"/>
      <c r="B20" s="20"/>
      <c r="C20" s="20"/>
      <c r="D20" s="26"/>
    </row>
    <row r="21" customFormat="false" ht="15" hidden="false" customHeight="false" outlineLevel="0" collapsed="false">
      <c r="A21" s="20"/>
      <c r="B21" s="20"/>
      <c r="C21" s="20"/>
      <c r="D21" s="26"/>
    </row>
    <row r="22" customFormat="false" ht="15" hidden="false" customHeight="false" outlineLevel="0" collapsed="false">
      <c r="A22" s="20"/>
      <c r="B22" s="20"/>
      <c r="C22" s="20"/>
      <c r="D22" s="26"/>
    </row>
    <row r="23" customFormat="false" ht="15" hidden="false" customHeight="false" outlineLevel="0" collapsed="false">
      <c r="A23" s="20"/>
      <c r="B23" s="20"/>
      <c r="C23" s="20"/>
      <c r="D23" s="26"/>
    </row>
  </sheetData>
  <conditionalFormatting sqref="C5:C23">
    <cfRule type="cellIs" priority="2" operator="equal" aboveAverage="0" equalAverage="0" bottom="0" percent="0" rank="0" text="" dxfId="1">
      <formula>"Concluído"</formula>
    </cfRule>
    <cfRule type="cellIs" priority="3" operator="equal" aboveAverage="0" equalAverage="0" bottom="0" percent="0" rank="0" text="" dxfId="9">
      <formula>"Em andamento"</formula>
    </cfRule>
    <cfRule type="cellIs" priority="4" operator="equal" aboveAverage="0" equalAverage="0" bottom="0" percent="0" rank="0" text="" dxfId="0">
      <formula>"Pendente"</formula>
    </cfRule>
  </conditionalFormatting>
  <dataValidations count="1">
    <dataValidation allowBlank="true" error="Escolha: Pendente, Em andamento ou Concluído." errorStyle="stop" errorTitle="Valor inválido" operator="between" prompt="Escolha um item da lista." promptTitle="Selecione" showDropDown="false" showErrorMessage="true" showInputMessage="true" sqref="C5:C23" type="list">
      <formula1>ListaStatus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"/>
    <col collapsed="false" customWidth="true" hidden="false" outlineLevel="0" max="6" min="6" style="0" width="26"/>
    <col collapsed="false" customWidth="true" hidden="false" outlineLevel="0" max="7" min="7" style="0" width="3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9" t="str">
        <f aca="false">HYPERLINK("#'Menu'!A1","◄ Voltar ao Menu")</f>
        <v>◄ Voltar ao Menu</v>
      </c>
    </row>
    <row r="2" customFormat="false" ht="17.35" hidden="false" customHeight="false" outlineLevel="0" collapsed="false">
      <c r="A2" s="10" t="s">
        <v>131</v>
      </c>
    </row>
    <row r="3" customFormat="false" ht="15" hidden="false" customHeight="false" outlineLevel="0" collapsed="false">
      <c r="A3" s="0" t="s">
        <v>132</v>
      </c>
      <c r="B3" s="28" t="n">
        <v>2025</v>
      </c>
      <c r="C3" s="8" t="s">
        <v>133</v>
      </c>
    </row>
    <row r="4" customFormat="false" ht="15" hidden="false" customHeight="false" outlineLevel="0" collapsed="false">
      <c r="A4" s="0" t="s">
        <v>134</v>
      </c>
      <c r="B4" s="29" t="n">
        <v>3561.5</v>
      </c>
    </row>
    <row r="5" customFormat="false" ht="15" hidden="false" customHeight="false" outlineLevel="0" collapsed="false">
      <c r="A5" s="0" t="s">
        <v>135</v>
      </c>
      <c r="B5" s="29" t="n">
        <v>2275.08</v>
      </c>
    </row>
    <row r="6" customFormat="false" ht="15" hidden="false" customHeight="false" outlineLevel="0" collapsed="false">
      <c r="A6" s="0" t="s">
        <v>136</v>
      </c>
      <c r="B6" s="30" t="n">
        <v>0.12</v>
      </c>
    </row>
    <row r="9" customFormat="false" ht="31.5" hidden="false" customHeight="true" outlineLevel="0" collapsed="false">
      <c r="A9" s="18" t="s">
        <v>60</v>
      </c>
      <c r="B9" s="18" t="s">
        <v>137</v>
      </c>
      <c r="D9" s="18" t="s">
        <v>138</v>
      </c>
      <c r="F9" s="18" t="s">
        <v>100</v>
      </c>
      <c r="H9" s="18" t="s">
        <v>110</v>
      </c>
    </row>
    <row r="10" customFormat="false" ht="15" hidden="false" customHeight="false" outlineLevel="0" collapsed="false">
      <c r="A10" s="31" t="s">
        <v>69</v>
      </c>
      <c r="B10" s="31" t="s">
        <v>139</v>
      </c>
      <c r="D10" s="31" t="s">
        <v>80</v>
      </c>
      <c r="F10" s="31" t="s">
        <v>140</v>
      </c>
      <c r="H10" s="31" t="s">
        <v>114</v>
      </c>
    </row>
    <row r="11" customFormat="false" ht="15" hidden="false" customHeight="false" outlineLevel="0" collapsed="false">
      <c r="A11" s="31" t="s">
        <v>141</v>
      </c>
      <c r="B11" s="31" t="s">
        <v>139</v>
      </c>
      <c r="D11" s="31" t="s">
        <v>142</v>
      </c>
      <c r="F11" s="31" t="s">
        <v>105</v>
      </c>
      <c r="H11" s="31" t="s">
        <v>143</v>
      </c>
    </row>
    <row r="12" customFormat="false" ht="15" hidden="false" customHeight="false" outlineLevel="0" collapsed="false">
      <c r="A12" s="31" t="s">
        <v>144</v>
      </c>
      <c r="B12" s="31" t="s">
        <v>139</v>
      </c>
      <c r="D12" s="31" t="s">
        <v>30</v>
      </c>
      <c r="F12" s="31" t="s">
        <v>145</v>
      </c>
      <c r="H12" s="31" t="s">
        <v>146</v>
      </c>
    </row>
    <row r="13" customFormat="false" ht="15" hidden="false" customHeight="false" outlineLevel="0" collapsed="false">
      <c r="A13" s="31" t="s">
        <v>147</v>
      </c>
      <c r="B13" s="31" t="s">
        <v>139</v>
      </c>
      <c r="D13" s="31" t="s">
        <v>148</v>
      </c>
      <c r="F13" s="31" t="s">
        <v>149</v>
      </c>
    </row>
    <row r="14" customFormat="false" ht="15" hidden="false" customHeight="false" outlineLevel="0" collapsed="false">
      <c r="A14" s="31" t="s">
        <v>150</v>
      </c>
      <c r="B14" s="31" t="s">
        <v>151</v>
      </c>
      <c r="D14" s="31" t="s">
        <v>32</v>
      </c>
      <c r="F14" s="31" t="s">
        <v>152</v>
      </c>
    </row>
    <row r="15" customFormat="false" ht="15" hidden="false" customHeight="false" outlineLevel="0" collapsed="false">
      <c r="A15" s="31" t="s">
        <v>153</v>
      </c>
      <c r="B15" s="31" t="s">
        <v>151</v>
      </c>
      <c r="F15" s="31" t="s">
        <v>154</v>
      </c>
    </row>
    <row r="16" customFormat="false" ht="15" hidden="false" customHeight="false" outlineLevel="0" collapsed="false">
      <c r="A16" s="31" t="s">
        <v>155</v>
      </c>
      <c r="B16" s="31" t="s">
        <v>151</v>
      </c>
    </row>
    <row r="17" customFormat="false" ht="15" hidden="false" customHeight="false" outlineLevel="0" collapsed="false">
      <c r="A17" s="31" t="s">
        <v>156</v>
      </c>
      <c r="B17" s="31" t="s">
        <v>157</v>
      </c>
    </row>
    <row r="18" customFormat="false" ht="15" hidden="false" customHeight="false" outlineLevel="0" collapsed="false">
      <c r="A18" s="31" t="s">
        <v>158</v>
      </c>
      <c r="B18" s="31" t="s">
        <v>157</v>
      </c>
    </row>
    <row r="19" customFormat="false" ht="15" hidden="false" customHeight="false" outlineLevel="0" collapsed="false">
      <c r="A19" s="31" t="s">
        <v>159</v>
      </c>
      <c r="B19" s="31" t="s">
        <v>157</v>
      </c>
    </row>
    <row r="22" customFormat="false" ht="15" hidden="false" customHeight="false" outlineLevel="0" collapsed="false">
      <c r="A22" s="11" t="s">
        <v>160</v>
      </c>
    </row>
    <row r="23" customFormat="false" ht="31.5" hidden="false" customHeight="true" outlineLevel="0" collapsed="false">
      <c r="A23" s="18" t="s">
        <v>161</v>
      </c>
      <c r="B23" s="18" t="s">
        <v>162</v>
      </c>
      <c r="C23" s="18" t="s">
        <v>163</v>
      </c>
    </row>
    <row r="24" customFormat="false" ht="15" hidden="false" customHeight="false" outlineLevel="0" collapsed="false">
      <c r="A24" s="22" t="n">
        <v>0</v>
      </c>
      <c r="B24" s="32" t="n">
        <v>0</v>
      </c>
      <c r="C24" s="22" t="n">
        <v>0</v>
      </c>
    </row>
    <row r="25" customFormat="false" ht="15" hidden="false" customHeight="false" outlineLevel="0" collapsed="false">
      <c r="A25" s="22" t="n">
        <v>29145.6</v>
      </c>
      <c r="B25" s="32" t="n">
        <v>0.075</v>
      </c>
      <c r="C25" s="22" t="n">
        <v>2185.92</v>
      </c>
    </row>
    <row r="26" customFormat="false" ht="15" hidden="false" customHeight="false" outlineLevel="0" collapsed="false">
      <c r="A26" s="22" t="n">
        <v>33919.8</v>
      </c>
      <c r="B26" s="32" t="n">
        <v>0.15</v>
      </c>
      <c r="C26" s="22" t="n">
        <v>4729.92</v>
      </c>
    </row>
    <row r="27" customFormat="false" ht="15" hidden="false" customHeight="false" outlineLevel="0" collapsed="false">
      <c r="A27" s="22" t="n">
        <v>45012.6</v>
      </c>
      <c r="B27" s="32" t="n">
        <v>0.225</v>
      </c>
      <c r="C27" s="22" t="n">
        <v>8105.88</v>
      </c>
    </row>
    <row r="28" customFormat="false" ht="15" hidden="false" customHeight="false" outlineLevel="0" collapsed="false">
      <c r="A28" s="22" t="n">
        <v>55976.16</v>
      </c>
      <c r="B28" s="32" t="n">
        <v>0.275</v>
      </c>
      <c r="C28" s="22" t="n">
        <v>10904.76</v>
      </c>
    </row>
    <row r="30" customFormat="false" ht="15" hidden="false" customHeight="false" outlineLevel="0" collapsed="false">
      <c r="A30" s="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2026-10-18T16:06:20Z</dcterms:created>
  <dc:creator>openpyxl</dc:creator>
  <dc:description/>
  <dc:language>en-US</dc:language>
  <cp:lastModifiedBy/>
  <dcterms:modified xsi:type="dcterms:W3CDTF">2026-10-18T16:06:20Z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